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LEEME" sheetId="1" state="visible" r:id="rId3"/>
    <sheet name="T01_Supuestos" sheetId="2" state="visible" r:id="rId4"/>
    <sheet name="T02_Prioridad" sheetId="3" state="visible" r:id="rId5"/>
    <sheet name="T03_Requisitos" sheetId="4" state="visible" r:id="rId6"/>
    <sheet name="T04_Especificaciones" sheetId="5" state="visible" r:id="rId7"/>
    <sheet name="T05_Func_HW_SW" sheetId="6" state="visible" r:id="rId8"/>
    <sheet name="T06_Matriz_Decision" sheetId="7" state="visible" r:id="rId9"/>
    <sheet name="T07_Interfaces" sheetId="8" state="visible" r:id="rId10"/>
    <sheet name="T08_Perifericos" sheetId="9" state="visible" r:id="rId11"/>
    <sheet name="T09_Masa" sheetId="10" state="visible" r:id="rId12"/>
    <sheet name="T10_Potencia_Energia" sheetId="11" state="visible" r:id="rId13"/>
    <sheet name="T11_Memoria_Datos" sheetId="12" state="visible" r:id="rId14"/>
    <sheet name="T12_Riesgos" sheetId="13" state="visible" r:id="rId15"/>
    <sheet name="X_Trazabilidad"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<sst xmlns="http://schemas.openxmlformats.org/spreadsheetml/2006/main" count="1079" uniqueCount="771">
  <si>
    <t xml:space="preserve">CubeSat UD34 – Hoja de cálculo editable</t>
  </si>
  <si>
    <t xml:space="preserve">Todas las tablas del informe 'Requisitos, especificaciones y arquitectura electrónica del CubeSat UD34' (Juan José Díaz, Kevin Echeverri), transcritas con su estructura de columnas original.</t>
  </si>
  <si>
    <t xml:space="preserve">Convención</t>
  </si>
  <si>
    <t xml:space="preserve">Uso</t>
  </si>
  <si>
    <t xml:space="preserve">Hoja</t>
  </si>
  <si>
    <t xml:space="preserve">Contenido</t>
  </si>
  <si>
    <t xml:space="preserve">Estado</t>
  </si>
  <si>
    <t xml:space="preserve">Sección del informe</t>
  </si>
  <si>
    <t xml:space="preserve">Celda amarilla</t>
  </si>
  <si>
    <t xml:space="preserve">Entrada editable / supuesto / TBD</t>
  </si>
  <si>
    <t xml:space="preserve">T01_Supuestos</t>
  </si>
  <si>
    <t xml:space="preserve">Tabla I – Supuestos iniciales</t>
  </si>
  <si>
    <t xml:space="preserve">Base</t>
  </si>
  <si>
    <t xml:space="preserve">1.4</t>
  </si>
  <si>
    <t xml:space="preserve">Celda verde</t>
  </si>
  <si>
    <t xml:space="preserve">Resultado calculado (fórmula)</t>
  </si>
  <si>
    <t xml:space="preserve">T02_Prioridad</t>
  </si>
  <si>
    <t xml:space="preserve">Tabla II – Criterios de priorización</t>
  </si>
  <si>
    <t xml:space="preserve">2.01</t>
  </si>
  <si>
    <t xml:space="preserve">Celda azul</t>
  </si>
  <si>
    <t xml:space="preserve">Encabezado de sección</t>
  </si>
  <si>
    <t xml:space="preserve">T03_Requisitos</t>
  </si>
  <si>
    <t xml:space="preserve">Tabla III – Matriz de requisitos (25)</t>
  </si>
  <si>
    <t xml:space="preserve">2.02</t>
  </si>
  <si>
    <t xml:space="preserve">Celda gris</t>
  </si>
  <si>
    <t xml:space="preserve">Dato de referencia del informe</t>
  </si>
  <si>
    <t xml:space="preserve">T04_Especificaciones</t>
  </si>
  <si>
    <t xml:space="preserve">Tabla IV – Especificaciones técnicas (33)</t>
  </si>
  <si>
    <t xml:space="preserve">Base / TBD</t>
  </si>
  <si>
    <t xml:space="preserve">3</t>
  </si>
  <si>
    <t xml:space="preserve">T05_Func_HW_SW</t>
  </si>
  <si>
    <t xml:space="preserve">Tabla V – Funciones hardware / software</t>
  </si>
  <si>
    <t xml:space="preserve">4</t>
  </si>
  <si>
    <t xml:space="preserve">T06_Matriz_Decision</t>
  </si>
  <si>
    <t xml:space="preserve">Tabla VI – 4 decisiones ponderadas</t>
  </si>
  <si>
    <t xml:space="preserve">Calculada</t>
  </si>
  <si>
    <t xml:space="preserve">5.3</t>
  </si>
  <si>
    <t xml:space="preserve">T07_Interfaces</t>
  </si>
  <si>
    <t xml:space="preserve">Tabla VII – Interfaces IF-01 a IF-07</t>
  </si>
  <si>
    <t xml:space="preserve">5.4.3</t>
  </si>
  <si>
    <t xml:space="preserve">T08_Perifericos</t>
  </si>
  <si>
    <t xml:space="preserve">Tabla VIII – Conexiones con periféricos</t>
  </si>
  <si>
    <t xml:space="preserve">5.4.4</t>
  </si>
  <si>
    <t xml:space="preserve">T09_Masa</t>
  </si>
  <si>
    <t xml:space="preserve">Tabla IX – Presupuesto de masa</t>
  </si>
  <si>
    <t xml:space="preserve">6.1</t>
  </si>
  <si>
    <t xml:space="preserve">T10_Potencia_Energia</t>
  </si>
  <si>
    <t xml:space="preserve">Tabla X – Potencia y energía + batería</t>
  </si>
  <si>
    <t xml:space="preserve">6.2 y 6.2.1</t>
  </si>
  <si>
    <t xml:space="preserve">T11_Memoria_Datos</t>
  </si>
  <si>
    <t xml:space="preserve">Tabla XI – Volumen de información</t>
  </si>
  <si>
    <t xml:space="preserve">6.3</t>
  </si>
  <si>
    <t xml:space="preserve">T12_Riesgos</t>
  </si>
  <si>
    <t xml:space="preserve">Tabla XII – Riesgos y mitigación</t>
  </si>
  <si>
    <t xml:space="preserve">7.2</t>
  </si>
  <si>
    <t xml:space="preserve">X_Trazabilidad</t>
  </si>
  <si>
    <t xml:space="preserve">Extra: requisito → especificación → evidencia</t>
  </si>
  <si>
    <t xml:space="preserve">Derivada</t>
  </si>
  <si>
    <t xml:space="preserve">(no está en el informe)</t>
  </si>
  <si>
    <t xml:space="preserve">Observaciones de consistencia encontradas en el informe</t>
  </si>
  <si>
    <t xml:space="preserve">1) Tabla VI, Decisión 1: el puntaje de la Alternativa B figura como 2.15; con los pesos y calificaciones mostrados, el cálculo correcto es 3.15. La selección (Alt A) no cambia.</t>
  </si>
  <si>
    <t xml:space="preserve">2) Tabla IX: los 12 elementos suman 1238 g (no 1138 g). Con 20 % de margen: ≈ 1486 g (no 1366 g) y ≈ 514 g de holgura frente a 2 kg (no 634 g). Sigue cumpliendo ≤ 2 kg. Ver hoja T09_Masa.</t>
  </si>
  <si>
    <t xml:space="preserve">3) Tabla VII, IF-02 indica ≈ 7,37 MB por frame, mientras que la sección 6.3 usa 4,46 MB por banda y 66,85 MB por adquisición completa (15 bandas). Conviene unificar el criterio.</t>
  </si>
  <si>
    <t xml:space="preserve">4) Tabla V menciona 'una imagen de 4,46 MB'; esa cifra corresponde a una sola banda (16 bits), no al conjunto multiespectral.</t>
  </si>
  <si>
    <t xml:space="preserve">Tabla I: Supuestos iniciales del proyecto CubeSat</t>
  </si>
  <si>
    <t xml:space="preserve">Sección 1.4 del informe – Supuestos del sistema.</t>
  </si>
  <si>
    <t xml:space="preserve">ID</t>
  </si>
  <si>
    <t xml:space="preserve">Supuesto</t>
  </si>
  <si>
    <t xml:space="preserve">S-01</t>
  </si>
  <si>
    <t xml:space="preserve">El satélite será un CubeSat de formato 1U.</t>
  </si>
  <si>
    <t xml:space="preserve">S-02</t>
  </si>
  <si>
    <t xml:space="preserve">La vida útil nominal del CubeSat será de seis meses.</t>
  </si>
  <si>
    <t xml:space="preserve">S-03</t>
  </si>
  <si>
    <t xml:space="preserve">Se considerará una órbita aproximadamente circular, heliosíncrona y a una altitud de 550 km.</t>
  </si>
  <si>
    <t xml:space="preserve">S-04</t>
  </si>
  <si>
    <t xml:space="preserve">La estación terrestre de referencia estará ubicada en Medellín.</t>
  </si>
  <si>
    <t xml:space="preserve">S-05</t>
  </si>
  <si>
    <t xml:space="preserve">La carga útil será una cámara multiespectral orientada al análisis experimental de regiones productoras de café.</t>
  </si>
  <si>
    <t xml:space="preserve">S-06</t>
  </si>
  <si>
    <t xml:space="preserve">La energía será generada mediante paneles solares y almacenada en baterías recargables.</t>
  </si>
  <si>
    <t xml:space="preserve">S-07</t>
  </si>
  <si>
    <t xml:space="preserve">El CubeSat contará con sensores y actuadores para determinar y modificar su orientación.</t>
  </si>
  <si>
    <t xml:space="preserve">S-08</t>
  </si>
  <si>
    <t xml:space="preserve">Existirá comunicación bidireccional entre el CubeSat y la estación terrestre.</t>
  </si>
  <si>
    <t xml:space="preserve">S-09</t>
  </si>
  <si>
    <t xml:space="preserve">El satélite no contará con un sistema de propulsión.</t>
  </si>
  <si>
    <t xml:space="preserve">S-10</t>
  </si>
  <si>
    <t xml:space="preserve">El software de vuelo no será implementado durante el desarrollo del proyecto.</t>
  </si>
  <si>
    <t xml:space="preserve">Tabla II: Criterios utilizados para la priorización de requisitos</t>
  </si>
  <si>
    <t xml:space="preserve">Sección 2.01 del informe – Criterio de prioridad.</t>
  </si>
  <si>
    <t xml:space="preserve">Prioridad</t>
  </si>
  <si>
    <t xml:space="preserve">Criterio</t>
  </si>
  <si>
    <t xml:space="preserve">Alta</t>
  </si>
  <si>
    <t xml:space="preserve">El incumplimiento del requisito impide alcanzar un objetivo principal de la misión, compromete la operación o seguridad del CubeSat, o produce el incumplimiento de una restricción o norma obligatoria.</t>
  </si>
  <si>
    <t xml:space="preserve">Media</t>
  </si>
  <si>
    <t xml:space="preserve">El incumplimiento del requisito degrada el desempeño, limita alguna capacidad del sistema o reduce el margen operacional, pero no impide necesariamente alcanzar el objetivo principal de la misión.</t>
  </si>
  <si>
    <t xml:space="preserve">Baja</t>
  </si>
  <si>
    <t xml:space="preserve">El requisito representa una mejora deseable para el sistema, facilita su integración, operación o desarrollo, pero su incumplimiento no compromete directamente el éxito mínimo de la misión.</t>
  </si>
  <si>
    <t xml:space="preserve">Tabla III: Matriz preliminar de requisitos del CubeSat</t>
  </si>
  <si>
    <t xml:space="preserve">Sección 2.02 del informe. Clasificación: funcional, no funcional, ambiental y normativo.</t>
  </si>
  <si>
    <t xml:space="preserve">Tipo</t>
  </si>
  <si>
    <t xml:space="preserve">Requisito</t>
  </si>
  <si>
    <t xml:space="preserve">Origen o justificación</t>
  </si>
  <si>
    <t xml:space="preserve">Criterio de aceptación</t>
  </si>
  <si>
    <t xml:space="preserve">RF-01</t>
  </si>
  <si>
    <t xml:space="preserve">Funcional</t>
  </si>
  <si>
    <t xml:space="preserve">El CubeSat deberá adquirir imágenes multiespectrales de la superficie terrestre durante el paso sobre las regiones de interés definidas para la misión.</t>
  </si>
  <si>
    <t xml:space="preserve">S-05 / Objetivo de la misión.</t>
  </si>
  <si>
    <t xml:space="preserve">Se deberá verificar que la arquitectura de la carga útil permita adquirir y entregar al sistema de datos una imagen multiespectral.</t>
  </si>
  <si>
    <t xml:space="preserve">RF-02</t>
  </si>
  <si>
    <t xml:space="preserve">El CubeSat deberá almacenar temporalmente los datos generados por la carga útil antes de su transmisión a tierra.</t>
  </si>
  <si>
    <t xml:space="preserve">S-05 / Operación de la carga útil.</t>
  </si>
  <si>
    <t xml:space="preserve">La capacidad de almacenamiento definida deberá ser igual o superior al volumen máximo de datos generado entre oportunidades de descarga.</t>
  </si>
  <si>
    <t xml:space="preserve">RF-03</t>
  </si>
  <si>
    <t xml:space="preserve">El CubeSat deberá transmitir a la estación terrestre los datos de misión y la telemetría correspondiente al estado del satélite.</t>
  </si>
  <si>
    <t xml:space="preserve">S-08 / Comunicación satélite–tierra.</t>
  </si>
  <si>
    <t xml:space="preserve">El presupuesto de enlace deberá demostrar la capacidad de realizar el enlace descendente durante una ventana de comunicación prevista.</t>
  </si>
  <si>
    <t xml:space="preserve">RF-04</t>
  </si>
  <si>
    <t xml:space="preserve">El CubeSat deberá recibir comandos provenientes de la estación terrestre.</t>
  </si>
  <si>
    <t xml:space="preserve">S-08 / Comunicación bidireccional.</t>
  </si>
  <si>
    <t xml:space="preserve">La arquitectura de comunicaciones deberá contemplar un enlace ascendente capaz de recibir y entregar comandos al sistema de manejo de datos.</t>
  </si>
  <si>
    <t xml:space="preserve">RF-05</t>
  </si>
  <si>
    <t xml:space="preserve">El CubeSat deberá determinar su orientación mediante información obtenida de sensores a bordo.</t>
  </si>
  <si>
    <t xml:space="preserve">S-07 / Determinación de actitud.</t>
  </si>
  <si>
    <t xml:space="preserve">La arquitectura del sistema de determinación de actitud deberá disponer de información sensorial suficiente para estimar las variables de orientación requeridas por la misión.</t>
  </si>
  <si>
    <t xml:space="preserve">RF-06</t>
  </si>
  <si>
    <t xml:space="preserve">El CubeSat deberá modificar su orientación mediante actuadores de control de actitud.</t>
  </si>
  <si>
    <t xml:space="preserve">S-07 / Control de actitud.</t>
  </si>
  <si>
    <t xml:space="preserve">El análisis del sistema de control de actitud deberá demostrar que los actuadores seleccionados permiten realizar los cambios de orientación requeridos por la misión.</t>
  </si>
  <si>
    <t xml:space="preserve">RF-07</t>
  </si>
  <si>
    <t xml:space="preserve">El CubeSat deberá generar energía eléctrica a partir de radiación solar durante los períodos de iluminación orbital.</t>
  </si>
  <si>
    <t xml:space="preserve">S-06 / Generación de energía.</t>
  </si>
  <si>
    <t xml:space="preserve">El presupuesto de potencia deberá demostrar que la generación de energía satisface las necesidades establecidas para el perfil orbital considerado.</t>
  </si>
  <si>
    <t xml:space="preserve">RF-08</t>
  </si>
  <si>
    <t xml:space="preserve">El CubeSat deberá almacenar energía eléctrica para alimentar sus subsistemas durante los períodos en los que la generación solar sea insuficiente.</t>
  </si>
  <si>
    <t xml:space="preserve">S-06 / Almacenamiento de energía.</t>
  </si>
  <si>
    <t xml:space="preserve">El análisis energético deberá demostrar que la capacidad útil de almacenamiento permite cubrir el período crítico de operación, incluyendo los períodos de eclipse.</t>
  </si>
  <si>
    <t xml:space="preserve">RNF-01</t>
  </si>
  <si>
    <t xml:space="preserve">No funcional</t>
  </si>
  <si>
    <t xml:space="preserve">La plataforma espacial deberá ser capaz de operar nominalmente en órbita baja terrestre durante un período mínimo de seis (6) meses sin degradación crítica de sus funciones.</t>
  </si>
  <si>
    <t xml:space="preserve">S-02 / Duración nominal de la misión.</t>
  </si>
  <si>
    <t xml:space="preserve">La selección y análisis de los subsistemas deberá demostrar compatibilidad con una duración mínima de misión de seis meses en el ambiente orbital considerado.</t>
  </si>
  <si>
    <t xml:space="preserve">RNF-02</t>
  </si>
  <si>
    <t xml:space="preserve">El sistema eléctrico deberá mantener un balance energético no negativo para el ciclo orbital nominal de la misión.</t>
  </si>
  <si>
    <t xml:space="preserve">S-06 / Continuidad operacional.</t>
  </si>
  <si>
    <t xml:space="preserve">El presupuesto energético de una órbita representativa deberá presentar una energía disponible igual o superior a la energía consumida, considerando las pérdidas definidas en el modelo.</t>
  </si>
  <si>
    <t xml:space="preserve">RNF-03</t>
  </si>
  <si>
    <t xml:space="preserve">El sistema de comunicaciones deberá proporcionar un enlace con margen positivo bajo las condiciones nominales de comunicación con la estación terrestre de referencia.</t>
  </si>
  <si>
    <t xml:space="preserve">S-04 y S-08 / Enlace de comunicaciones.</t>
  </si>
  <si>
    <t xml:space="preserve">El presupuesto de enlace deberá presentar un margen superior a 0 dB para las condiciones nominales adoptadas.</t>
  </si>
  <si>
    <t xml:space="preserve">RNF-04</t>
  </si>
  <si>
    <t xml:space="preserve">Los subsistemas eléctricos deberán utilizar interfaces de alimentación y datos compatibles entre sí.</t>
  </si>
  <si>
    <t xml:space="preserve">Integración del sistema.</t>
  </si>
  <si>
    <t xml:space="preserve">La matriz de interfaces deberá demostrar compatibilidad de tensión, corriente, niveles eléctricos y protocolos entre los elementos interconectados.</t>
  </si>
  <si>
    <t xml:space="preserve">RA-01</t>
  </si>
  <si>
    <t xml:space="preserve">Ambiental</t>
  </si>
  <si>
    <t xml:space="preserve">El hardware del CubeSat deberá ser compatible con la operación en vacío durante la fase orbital de la misión.</t>
  </si>
  <si>
    <t xml:space="preserve">S-03 / Ambiente espacial de operación.</t>
  </si>
  <si>
    <t xml:space="preserve">Los componentes y materiales seleccionados deberán disponer de características documentadas compatibles con la operación en vacío o de una justificación técnica para su utilización.</t>
  </si>
  <si>
    <t xml:space="preserve">RA-02</t>
  </si>
  <si>
    <t xml:space="preserve">El CubeSat deberá soportar el entorno térmico asociado con los ciclos de iluminación y eclipse de la órbita definida para la misión.</t>
  </si>
  <si>
    <t xml:space="preserve">S-03 / Entorno térmico orbital.</t>
  </si>
  <si>
    <t xml:space="preserve">El análisis térmico deberá demostrar que las temperaturas estimadas de los componentes permanecen dentro de sus límites admisibles durante los casos orbitales considerados.</t>
  </si>
  <si>
    <t xml:space="preserve">RA-03</t>
  </si>
  <si>
    <t xml:space="preserve">La estructura y los componentes del CubeSat deberán permanecer mecánicamente íntegros frente a las cargas previstas durante el lanzamiento y despliegue.</t>
  </si>
  <si>
    <t xml:space="preserve">Entorno de lanzamiento / Seguridad.</t>
  </si>
  <si>
    <t xml:space="preserve">La verificación estructural deberá demostrar compatibilidad con las cargas y niveles de vibración adoptados para el diseño.</t>
  </si>
  <si>
    <t xml:space="preserve">RA-04</t>
  </si>
  <si>
    <t xml:space="preserve">Los equipos electrónicos críticos del CubeSat deberán mantener su funcionalidad después de una Dosis Ionizante Total de diseño de al menos TBD krad(Si).</t>
  </si>
  <si>
    <t xml:space="preserve">S-02 y S-03 / Entorno de radiación correspondiente a una misión de seis meses en SSO a 550 km.</t>
  </si>
  <si>
    <t xml:space="preserve">El valor de TID de diseño se determinará mediante un modelo de radiación orbital para una misión de seis meses a 550 km, considerando el blindaje equivalente adoptado y el margen de diseño correspondiente. La tolerancia documentada de los elementos críticos deberá ser igual o superior a dicho valor.</t>
  </si>
  <si>
    <t xml:space="preserve">RA-05</t>
  </si>
  <si>
    <t xml:space="preserve">Los componentes electrónicos críticos susceptibles a latch-up deberán presentar un umbral de susceptibilidad a SEL por iones pesados igual o superior a 60 MeV·cm²/mg.</t>
  </si>
  <si>
    <t xml:space="preserve">S-03 / ECSS-E-ST-10-12C, entorno de radiación y efectos de evento único.</t>
  </si>
  <si>
    <t xml:space="preserve">Verificar documentalmente que todos los componentes críticos susceptibles a SEL presenten LETth ≥ 60 MeV·cm²/mg.</t>
  </si>
  <si>
    <t xml:space="preserve">RN-01</t>
  </si>
  <si>
    <t xml:space="preserve">Normativo</t>
  </si>
  <si>
    <t xml:space="preserve">La configuración mecánica del satélite deberá ser compatible con el formato CubeSat 1U definido por la CubeSat Design Specification aplicable al proyecto.</t>
  </si>
  <si>
    <t xml:space="preserve">S-01 / CubeSat Design Specification Rev. 14.1.</t>
  </si>
  <si>
    <t xml:space="preserve">Las dimensiones, envolvente, masa e interfaces mecánicas del modelo deberán verificarse contra las especificaciones aplicables de la CubeSat Design Specification.</t>
  </si>
  <si>
    <t xml:space="preserve">RN-02</t>
  </si>
  <si>
    <t xml:space="preserve">Todas las partes del CubeSat deberán permanecer unidas al satélite durante lanzamiento, eyección y operación.</t>
  </si>
  <si>
    <t xml:space="preserve">CubeSat Design Specification Rev. 14.1.</t>
  </si>
  <si>
    <t xml:space="preserve">El diseño mecánico deberá demostrar que los elementos del CubeSat permanecen asegurados durante las fases consideradas.</t>
  </si>
  <si>
    <t xml:space="preserve">RN-03</t>
  </si>
  <si>
    <t xml:space="preserve">Los materiales empleados en el CubeSat deberán cumplir los criterios de desgasificación aplicables al ambiente espacial definidos para el diseño.</t>
  </si>
  <si>
    <t xml:space="preserve">La lista de materiales deberá incluir evidencia documental de cumplimiento de los criterios de desgasificación adoptados o una justificación para las excepciones identificadas.</t>
  </si>
  <si>
    <t xml:space="preserve">RN-04</t>
  </si>
  <si>
    <t xml:space="preserve">El subsistema de comunicaciones deberá operar dentro de bandas y condiciones de emisión compatibles con la reglamentación de espectro aplicable a la misión.</t>
  </si>
  <si>
    <t xml:space="preserve">S-08 / Regulación de comunicaciones satelitales.</t>
  </si>
  <si>
    <t xml:space="preserve">La banda y los parámetros de transmisión seleccionados deberán contrastarse con la asignación y autorización regulatoria aplicable antes de establecer el diseño definitivo.</t>
  </si>
  <si>
    <t xml:space="preserve">Tabla IV: Especificaciones técnicas preliminares del CubeSat</t>
  </si>
  <si>
    <t xml:space="preserve">Sección 3 del informe. TBD = por determinar. Métodos de verificación: A (análisis), I (inspección o revisión documental), T (ensayo), D (demostración).</t>
  </si>
  <si>
    <t xml:space="preserve">ID de especificación</t>
  </si>
  <si>
    <t xml:space="preserve">Requisitos asociados</t>
  </si>
  <si>
    <t xml:space="preserve">Parámetro técnico</t>
  </si>
  <si>
    <t xml:space="preserve">Valor, rango o tolerancia</t>
  </si>
  <si>
    <t xml:space="preserve">Unidad</t>
  </si>
  <si>
    <t xml:space="preserve">Fundamento</t>
  </si>
  <si>
    <t xml:space="preserve">Método previsto de verificación</t>
  </si>
  <si>
    <t xml:space="preserve">ET-MIS-01</t>
  </si>
  <si>
    <t xml:space="preserve">Vida útil nominal de la misión</t>
  </si>
  <si>
    <t xml:space="preserve">≥ 6</t>
  </si>
  <si>
    <t xml:space="preserve">meses</t>
  </si>
  <si>
    <t xml:space="preserve">Duración mínima establecida en el supuesto S-02.</t>
  </si>
  <si>
    <t xml:space="preserve">A, I</t>
  </si>
  <si>
    <t xml:space="preserve">ET-ORB-01</t>
  </si>
  <si>
    <t xml:space="preserve">RA-02, RA-04</t>
  </si>
  <si>
    <t xml:space="preserve">Altitud orbital de referencia</t>
  </si>
  <si>
    <t xml:space="preserve">550 nominal</t>
  </si>
  <si>
    <t xml:space="preserve">km</t>
  </si>
  <si>
    <t xml:space="preserve">Órbita adoptada en el supuesto S-03 para los análisis preliminares de misión.</t>
  </si>
  <si>
    <t xml:space="preserve">A</t>
  </si>
  <si>
    <t xml:space="preserve">ET-ORB-02</t>
  </si>
  <si>
    <t xml:space="preserve">Configuración orbital</t>
  </si>
  <si>
    <t xml:space="preserve">SSO aproximadamente circular</t>
  </si>
  <si>
    <t xml:space="preserve">–</t>
  </si>
  <si>
    <t xml:space="preserve">Condición orbital establecida en S-03.</t>
  </si>
  <si>
    <t xml:space="preserve">ET-PL-01</t>
  </si>
  <si>
    <t xml:space="preserve">Número de bandas espectrales</t>
  </si>
  <si>
    <t xml:space="preserve">TBD</t>
  </si>
  <si>
    <t xml:space="preserve">Se determinará a partir de las bandas requeridas para el análisis experimental de las regiones productoras de café y de la arquitectura de la carga útil.</t>
  </si>
  <si>
    <t xml:space="preserve">ET-PL-02</t>
  </si>
  <si>
    <t xml:space="preserve">Resolución espacial en superficie (GSD)</t>
  </si>
  <si>
    <t xml:space="preserve">m/píxel</t>
  </si>
  <si>
    <t xml:space="preserve">Se determinará a partir del objetivo de observación, la altitud orbital y las características ópticas de la carga útil.</t>
  </si>
  <si>
    <t xml:space="preserve">ET-DAT-01</t>
  </si>
  <si>
    <t xml:space="preserve">RF-01, RF-02</t>
  </si>
  <si>
    <t xml:space="preserve">Volumen de datos por adquisición</t>
  </si>
  <si>
    <t xml:space="preserve">MB</t>
  </si>
  <si>
    <t xml:space="preserve">Se calculará a partir de la resolución del sensor, número de bandas, profundidad de bits y esquema de procesamiento o compresión adoptado.</t>
  </si>
  <si>
    <t xml:space="preserve">ET-DAT-02</t>
  </si>
  <si>
    <t xml:space="preserve">Capacidad útil mínima de almacenamiento</t>
  </si>
  <si>
    <t xml:space="preserve">GB</t>
  </si>
  <si>
    <t xml:space="preserve">Se calculará a partir del máximo volumen de datos acumulado entre oportunidades consecutivas de descarga.</t>
  </si>
  <si>
    <t xml:space="preserve">ET-COM-01</t>
  </si>
  <si>
    <t xml:space="preserve">Tasa neta mínima de enlace descendente</t>
  </si>
  <si>
    <t xml:space="preserve">kbps/Mbps</t>
  </si>
  <si>
    <t xml:space="preserve">Se calculará a partir del volumen de datos que debe transmitirse y del tiempo efectivo disponible de comunicación con la estación terrestre.</t>
  </si>
  <si>
    <t xml:space="preserve">ET-COM-02</t>
  </si>
  <si>
    <t xml:space="preserve">Margen del enlace de comunicaciones</t>
  </si>
  <si>
    <t xml:space="preserve">&gt; 0</t>
  </si>
  <si>
    <t xml:space="preserve">dB</t>
  </si>
  <si>
    <t xml:space="preserve">Condición establecida por RNF-03. El valor será verificado mediante el presupuesto de enlace para las condiciones nominales de misión.</t>
  </si>
  <si>
    <t xml:space="preserve">ET-COM-03</t>
  </si>
  <si>
    <t xml:space="preserve">RF-03, RF-04, RN-04</t>
  </si>
  <si>
    <t xml:space="preserve">Banda de operación del enlace</t>
  </si>
  <si>
    <t xml:space="preserve">Se seleccionará considerando la tasa de datos requerida, presupuesto de enlace, disponibilidad tecnológica y regulación de espectro aplicable.</t>
  </si>
  <si>
    <t xml:space="preserve">ET-GS-01</t>
  </si>
  <si>
    <t xml:space="preserve">Estación terrestre de referencia</t>
  </si>
  <si>
    <t xml:space="preserve">Medellín</t>
  </si>
  <si>
    <t xml:space="preserve">Ubicación definida en el supuesto S-04 para los análisis de contacto y comunicación.</t>
  </si>
  <si>
    <t xml:space="preserve">ET-ADCS-01</t>
  </si>
  <si>
    <t xml:space="preserve">Error máximo de conocimiento de actitud</t>
  </si>
  <si>
    <t xml:space="preserve">°</t>
  </si>
  <si>
    <t xml:space="preserve">Se determinará a partir de las necesidades de adquisición y georreferenciación de la carga útil.</t>
  </si>
  <si>
    <t xml:space="preserve">A, D</t>
  </si>
  <si>
    <t xml:space="preserve">ET-ADCS-02</t>
  </si>
  <si>
    <t xml:space="preserve">Error máximo de apuntamiento</t>
  </si>
  <si>
    <t xml:space="preserve">Se determinará mediante un presupuesto de apuntamiento considerando la resolución espacial y el desplazamiento máximo permitido sobre el terreno.</t>
  </si>
  <si>
    <t xml:space="preserve">ET-EPS-01</t>
  </si>
  <si>
    <t xml:space="preserve">Fuente primaria de generación de energía</t>
  </si>
  <si>
    <t xml:space="preserve">Solar fotovoltaica</t>
  </si>
  <si>
    <t xml:space="preserve">Arquitectura energética establecida en el supuesto S-06.</t>
  </si>
  <si>
    <t xml:space="preserve">I</t>
  </si>
  <si>
    <t xml:space="preserve">ET-EPS-02</t>
  </si>
  <si>
    <t xml:space="preserve">Sistema de almacenamiento de energía</t>
  </si>
  <si>
    <t xml:space="preserve">Batería recargable</t>
  </si>
  <si>
    <t xml:space="preserve">ET-EPS-03</t>
  </si>
  <si>
    <t xml:space="preserve">Balance energético por órbita</t>
  </si>
  <si>
    <t xml:space="preserve">ΔE ≥ 0</t>
  </si>
  <si>
    <t xml:space="preserve">Wh</t>
  </si>
  <si>
    <t xml:space="preserve">Derivado de RNF-02, donde ΔE = E_generada − E_consumida.</t>
  </si>
  <si>
    <t xml:space="preserve">ET-EPS-04</t>
  </si>
  <si>
    <t xml:space="preserve">RF-08, RNF-02</t>
  </si>
  <si>
    <t xml:space="preserve">Capacidad útil mínima de almacenamiento de energía</t>
  </si>
  <si>
    <t xml:space="preserve">Se calculará considerando el consumo durante eclipse, profundidad de descarga admisible, eficiencia y pérdidas del sistema.</t>
  </si>
  <si>
    <t xml:space="preserve">ET-EPS-05</t>
  </si>
  <si>
    <t xml:space="preserve">RF-07, RNF-02</t>
  </si>
  <si>
    <t xml:space="preserve">Potencia pico requerida por el CubeSat</t>
  </si>
  <si>
    <t xml:space="preserve">W</t>
  </si>
  <si>
    <t xml:space="preserve">Se obtendrá mediante el presupuesto de potencia considerando los modos de operación y las cargas simultáneamente activas.</t>
  </si>
  <si>
    <t xml:space="preserve">ET-INT-01</t>
  </si>
  <si>
    <t xml:space="preserve">Tensión nominal del bus eléctrico principal</t>
  </si>
  <si>
    <t xml:space="preserve">V</t>
  </si>
  <si>
    <t xml:space="preserve">Se definirá mediante la selección de la arquitectura EPS y la compatibilidad de alimentación de los subsistemas.</t>
  </si>
  <si>
    <t xml:space="preserve">ET-INT-02</t>
  </si>
  <si>
    <t xml:space="preserve">Interfaces de comunicación interna</t>
  </si>
  <si>
    <t xml:space="preserve">Se establecerán después de definir OBC, carga útil, ADCS y comunicaciones, verificando compatibilidad de niveles eléctricos y protocolos.</t>
  </si>
  <si>
    <t xml:space="preserve">ET-ENV-01</t>
  </si>
  <si>
    <t xml:space="preserve">Ambiente de operación durante la fase orbital</t>
  </si>
  <si>
    <t xml:space="preserve">Vacío orbital</t>
  </si>
  <si>
    <t xml:space="preserve">Condición ambiental derivada de la operación en órbita definida en S-03.</t>
  </si>
  <si>
    <t xml:space="preserve">ET-TH-01</t>
  </si>
  <si>
    <t xml:space="preserve">Rango térmico de diseño</t>
  </si>
  <si>
    <t xml:space="preserve">°C</t>
  </si>
  <si>
    <t xml:space="preserve">Se determinará mediante análisis térmico para las condiciones de iluminación y eclipse de la órbita definida.</t>
  </si>
  <si>
    <t xml:space="preserve">ET-STR-01</t>
  </si>
  <si>
    <t xml:space="preserve">Nivel de cargas y vibraciones de lanzamiento</t>
  </si>
  <si>
    <t xml:space="preserve">Se determinará utilizando el perfil del proveedor de lanzamiento o el estándar de verificación ambiental adoptado para el diseño.</t>
  </si>
  <si>
    <t xml:space="preserve">A, T</t>
  </si>
  <si>
    <t xml:space="preserve">ET-RAD-01</t>
  </si>
  <si>
    <t xml:space="preserve">Dosis Ionizante Total de diseño</t>
  </si>
  <si>
    <t xml:space="preserve">krad(Si)</t>
  </si>
  <si>
    <t xml:space="preserve">Se calculará para una misión de seis meses en SSO a 550 km, considerando el blindaje equivalente y el margen de diseño adoptado.</t>
  </si>
  <si>
    <t xml:space="preserve">ET-RAD-02</t>
  </si>
  <si>
    <t xml:space="preserve">Umbral mínimo de susceptibilidad a SEL</t>
  </si>
  <si>
    <t xml:space="preserve">≥ 60</t>
  </si>
  <si>
    <t xml:space="preserve">MeV·cm²/mg</t>
  </si>
  <si>
    <t xml:space="preserve">Valor establecido en RA-05 para los componentes electrónicos críticos susceptibles a Single Event Latch-up.</t>
  </si>
  <si>
    <t xml:space="preserve">ET-MEC-01</t>
  </si>
  <si>
    <t xml:space="preserve">Configuración mecánica</t>
  </si>
  <si>
    <t xml:space="preserve">1U</t>
  </si>
  <si>
    <t xml:space="preserve">Formato definido por S-01 y la CubeSat Design Specification Rev. 14.1.</t>
  </si>
  <si>
    <t xml:space="preserve">ET-MEC-02</t>
  </si>
  <si>
    <t xml:space="preserve">Masa total máxima</t>
  </si>
  <si>
    <t xml:space="preserve">≤ 2,00</t>
  </si>
  <si>
    <t xml:space="preserve">kg</t>
  </si>
  <si>
    <t xml:space="preserve">Límite de masa para una configuración CubeSat 1U establecido por la CubeSat Design Specification Rev. 14.1.</t>
  </si>
  <si>
    <t xml:space="preserve">ET-MEC-03</t>
  </si>
  <si>
    <t xml:space="preserve">Desplazamiento máximo del centro de gravedad</t>
  </si>
  <si>
    <t xml:space="preserve">±20 en X, Y y Z</t>
  </si>
  <si>
    <t xml:space="preserve">mm</t>
  </si>
  <si>
    <t xml:space="preserve">Límites para una configuración 1U establecidos por la CubeSat Design Specification Rev. 14.1.</t>
  </si>
  <si>
    <t xml:space="preserve">ET-MEC-04</t>
  </si>
  <si>
    <t xml:space="preserve">Protrusión máxima respecto al plano de los rieles</t>
  </si>
  <si>
    <t xml:space="preserve">≤ 6,5</t>
  </si>
  <si>
    <t xml:space="preserve">Límite geométrico establecido por la CubeSat Design Specification Rev. 14.1 para las superficies aplicables.</t>
  </si>
  <si>
    <t xml:space="preserve">ET-MEC-05</t>
  </si>
  <si>
    <t xml:space="preserve">Número permitido de elementos desprendidos</t>
  </si>
  <si>
    <t xml:space="preserve">0</t>
  </si>
  <si>
    <t xml:space="preserve">RN-02 y CubeSat Design Specification Rev. 14.1 establecen que todas las partes deben permanecer unidas durante lanzamiento, eyección y operación.</t>
  </si>
  <si>
    <t xml:space="preserve">I, T</t>
  </si>
  <si>
    <t xml:space="preserve">ET-MAT-01</t>
  </si>
  <si>
    <t xml:space="preserve">Pérdida total de masa (TML)</t>
  </si>
  <si>
    <t xml:space="preserve">≤ 1,0</t>
  </si>
  <si>
    <t xml:space="preserve">%</t>
  </si>
  <si>
    <t xml:space="preserve">Criterio de baja desgasificación establecido por la CubeSat Design Specification Rev. 14.1.</t>
  </si>
  <si>
    <t xml:space="preserve">ET-MAT-02</t>
  </si>
  <si>
    <t xml:space="preserve">Material volátil condensable (CVCM)</t>
  </si>
  <si>
    <t xml:space="preserve">≤ 0,1</t>
  </si>
  <si>
    <t xml:space="preserve">Celdas amarillas en 'Valor' = parámetros marcados TBD en el informe, pendientes de determinar con análisis posteriores.</t>
  </si>
  <si>
    <t xml:space="preserve">Tabla V: Distribución preliminar de funciones entre hardware y software</t>
  </si>
  <si>
    <t xml:space="preserve">Sección 4 del informe.</t>
  </si>
  <si>
    <t xml:space="preserve">Función</t>
  </si>
  <si>
    <t xml:space="preserve">Tipo de implementación</t>
  </si>
  <si>
    <t xml:space="preserve">Recursos de hardware necesarios</t>
  </si>
  <si>
    <t xml:space="preserve">Responsabilidad del software futuro</t>
  </si>
  <si>
    <t xml:space="preserve">Justificación</t>
  </si>
  <si>
    <t xml:space="preserve">Adquisición de imágenes multiespectrales</t>
  </si>
  <si>
    <t xml:space="preserve">Mixta</t>
  </si>
  <si>
    <t xml:space="preserve">Cámara multiespectral de referencia con resolución de 2048 × 1088 píxeles, profundidad de 10 bits, 15 bandas espectrales entre 600 y 860 nm e interfaz USB 3.0.</t>
  </si>
  <si>
    <t xml:space="preserve">Configurar los parámetros de exposición, iniciar la adquisición, recibir los datos, asociar marcas temporales y detectar errores durante la captura.</t>
  </si>
  <si>
    <t xml:space="preserve">RF-01. La adquisición requiere tanto el sensor físico como el control y gestión digital de la captura. Una imagen ocupa aproximadamente 4,46 MB al almacenarse a 16 bits por píxel.</t>
  </si>
  <si>
    <t xml:space="preserve">Procesamiento de datos de la carga útil</t>
  </si>
  <si>
    <t xml:space="preserve">Software</t>
  </si>
  <si>
    <t xml:space="preserve">Procesador dedicado para carga útil. Como referencia se considera el AAC Clyde Space CP400.85, con procesador ARM, aproximadamente 512 MB de RAM y capacidad de almacenamiento masivo.</t>
  </si>
  <si>
    <t xml:space="preserve">Gestionar los datos adquiridos, generar metadatos, verificar integridad y realizar operaciones de preparación o compresión antes del almacenamiento o transmisión.</t>
  </si>
  <si>
    <t xml:space="preserve">La función es principalmente algorítmica. El procesador constituye el recurso físico sobre el cual se ejecutará el software de procesamiento.</t>
  </si>
  <si>
    <t xml:space="preserve">Almacenamiento de imágenes</t>
  </si>
  <si>
    <t xml:space="preserve">Memoria no volátil con capacidad útil mínima de 4 GB y una interfaz de almacenamiento compatible con el procesador de carga útil.</t>
  </si>
  <si>
    <t xml:space="preserve">Administrar archivos o bloques de datos, controlar la ocupación, verificar integridad mediante CRC y eliminar los datos descargados correctamente.</t>
  </si>
  <si>
    <t xml:space="preserve">RF-02. La memoria realiza físicamente el almacenamiento, mientras que el software administra la organización e integridad de la información.</t>
  </si>
  <si>
    <t xml:space="preserve">Buffer temporal de imágenes</t>
  </si>
  <si>
    <t xml:space="preserve">Memoria RAM disponible mínima de 16 MB para la cadena de adquisición.</t>
  </si>
  <si>
    <t xml:space="preserve">Gestionar buffers de entrada y salida, controlar transferencias entre la cámara, RAM y memoria no volátil y evitar pérdida de información.</t>
  </si>
  <si>
    <t xml:space="preserve">La función corresponde principalmente a gestión de memoria. Una imagen requiere aproximadamente 4,46 MB y un doble buffer aproximadamente 8,92 MB, por lo que se adopta un mínimo de 16 MB.</t>
  </si>
  <si>
    <t xml:space="preserve">Control y coordinación central del CubeSat</t>
  </si>
  <si>
    <t xml:space="preserve">Computador de a bordo. Como referencia se considera el AAC Clyde Space KRYTEN-M3, con procesador ARM Cortex-M3, memoria no volátil y buses I²C, SPI, UART, CAN, RS422 y LVDS.</t>
  </si>
  <si>
    <t xml:space="preserve">Ejecutar la máquina de estados de misión, coordinar subsistemas, gestionar modos de operación, procesar eventos y ejecutar las acciones asociadas a los comandos recibidos.</t>
  </si>
  <si>
    <t xml:space="preserve">La coordinación del sistema depende principalmente de la lógica del software de vuelo; el OBC proporciona únicamente los recursos computacionales necesarios.</t>
  </si>
  <si>
    <t xml:space="preserve">Temporización y referencia temporal</t>
  </si>
  <si>
    <t xml:space="preserve">RTC, oscilador de referencia y temporizadores disponibles en el computador de a bordo.</t>
  </si>
  <si>
    <t xml:space="preserve">Mantener el tiempo de misión, generar marcas temporales para imágenes y telemetría y programar eventos de operación.</t>
  </si>
  <si>
    <t xml:space="preserve">El hardware proporciona la referencia temporal y el software la utiliza para sincronizar los eventos de misión.</t>
  </si>
  <si>
    <t xml:space="preserve">Detección y recuperación ante fallos</t>
  </si>
  <si>
    <t xml:space="preserve">Watchdog hardware, supervisores de alimentación, protecciones del EPS e interruptores electrónicos controlables.</t>
  </si>
  <si>
    <t xml:space="preserve">Detectar condiciones anómalas, registrar eventos, reiniciar subsistemas y llevar el satélite a un estado seguro cuando sea necesario.</t>
  </si>
  <si>
    <t xml:space="preserve">Combina mecanismos autónomos de protección en hardware con estrategias de detección y recuperación implementadas mediante software.</t>
  </si>
  <si>
    <t xml:space="preserve">Recepción de comandos críticos</t>
  </si>
  <si>
    <t xml:space="preserve">Transceptor UHF. Como referencia se considera el AAC Clyde Space TRX-U dentro del rango de 370–470 MHz, con una tasa nominal adoptada de 9,6 kbps.</t>
  </si>
  <si>
    <t xml:space="preserve">Validar la integridad de las tramas recibidas, interpretar los comandos y generar las acciones correspondientes sobre los subsistemas.</t>
  </si>
  <si>
    <t xml:space="preserve">RF-04. El transceptor realiza la recepción física, mientras que el software interpreta y ejecuta el contenido del comando.</t>
  </si>
  <si>
    <t xml:space="preserve">Transmisión de telemetría</t>
  </si>
  <si>
    <t xml:space="preserve">Transceptor UHF TRX-U o equivalente, con tasa nominal de 9,6 kbps y conexión digital con el OBC.</t>
  </si>
  <si>
    <t xml:space="preserve">Construir paquetes de housekeeping con tensiones, corrientes, temperaturas, estados, alarmas y eventos, y gestionar su envío.</t>
  </si>
  <si>
    <t xml:space="preserve">RF-03. El software genera y organiza la telemetría mientras el hardware realiza el enlace físico de radiofrecuencia.</t>
  </si>
  <si>
    <t xml:space="preserve">Transmisión de imágenes</t>
  </si>
  <si>
    <t xml:space="preserve">Transmisor de alta velocidad en banda S. Como referencia se considera el AAC Clyde Space PULSAR-HSTX-C, dentro de 2.2–2.3 GHz y con capacidad de hasta aproximadamente 8 Mbps.</t>
  </si>
  <si>
    <t xml:space="preserve">Fragmentar las imágenes, organizar los paquetes, gestionar la cola de transmisión y mantener registro de la información descargada.</t>
  </si>
  <si>
    <t xml:space="preserve">RF-03. Se establece una tasa neta mínima inicial de 1 Mbps. A 8 Mbps, una imagen de 4,46 MB requiere aproximadamente 4,46 s de transmisión teórica.</t>
  </si>
  <si>
    <t xml:space="preserve">Determinación de actitud</t>
  </si>
  <si>
    <t xml:space="preserve">Magnetómetro, sensores solares y sensores inerciales. Como referencias iniciales se consideran dispositivos AAC Clyde Space MM200 y SS200.</t>
  </si>
  <si>
    <t xml:space="preserve">Adquirir y calibrar las mediciones y ejecutar posteriormente el algoritmo de estimación de orientación del satélite.</t>
  </si>
  <si>
    <t xml:space="preserve">RF-05. Los sensores proporcionan las mediciones físicas, mientras que el software realiza la estimación de actitud.</t>
  </si>
  <si>
    <t xml:space="preserve">Control de actitud</t>
  </si>
  <si>
    <t xml:space="preserve">Actuadores de actitud y electrónica de potencia asociada. Como referencia preliminar se consideran ruedas de reacción AAC Clyde Space RW222 y magnetorques compatibles con una plataforma 1U.</t>
  </si>
  <si>
    <t xml:space="preserve">Calcular las acciones de control, generar consignas para los actuadores y gestionar maniobras de orientación y desaturación.</t>
  </si>
  <si>
    <t xml:space="preserve">RF-06. El software determina la acción de control y los actuadores generan físicamente el torque requerido.</t>
  </si>
  <si>
    <t xml:space="preserve">Generación de energía eléctrica</t>
  </si>
  <si>
    <t xml:space="preserve">Hardware</t>
  </si>
  <si>
    <t xml:space="preserve">Paneles solares fotovoltaicos, acondicionamiento de entrada, MPPT y electrónica de conversión asociada al EPS.</t>
  </si>
  <si>
    <t xml:space="preserve">Supervisar variables de operación y reportar el estado energético del subsistema.</t>
  </si>
  <si>
    <t xml:space="preserve">RF-07. La conversión de energía solar en energía eléctrica es una función realizada directamente por elementos físicos y electrónicos.</t>
  </si>
  <si>
    <t xml:space="preserve">Almacenamiento y distribución de energía</t>
  </si>
  <si>
    <t xml:space="preserve">Batería recargable, convertidores DC/DC, circuitos de protección y distribución de potencia. Como referencia preliminar se considera la familia AAC Clyde Space STARBUCK-NANO para CubeSat 1U, con buses de 3.3 V, 5 V y 12 V.</t>
  </si>
  <si>
    <t xml:space="preserve">Supervisar el estado de la batería y ordenar la activación o desactivación de cargas según el modo de operación.</t>
  </si>
  <si>
    <t xml:space="preserve">RF-08 y RNF-02. La batería, convertidores y elementos de distribución realizan físicamente el almacenamiento y suministro de energía.</t>
  </si>
  <si>
    <t xml:space="preserve">Supervisión del sistema de potencia</t>
  </si>
  <si>
    <t xml:space="preserve">Sensores de tensión, corriente y temperatura integrados o asociados al EPS, ADC y circuitos de protección.</t>
  </si>
  <si>
    <t xml:space="preserve">Leer las variables eléctricas, generar telemetría, detectar condiciones anómalas y ordenar la desconexión de cargas cuando corresponda.</t>
  </si>
  <si>
    <t xml:space="preserve">Los sensores realizan las mediciones físicas y el software utiliza dicha información para supervisar el estado energético y tomar decisiones de operación.</t>
  </si>
  <si>
    <t xml:space="preserve">Tabla VI: Matriz de comparación y selección de alternativas de arquitectura</t>
  </si>
  <si>
    <t xml:space="preserve">Sección 5.3. Escala 1–5 (5 = desempeño óptimo). Pesos y calificaciones editables (amarillo); puntajes ponderados y selección se recalculan (verde).</t>
  </si>
  <si>
    <t xml:space="preserve">Decisión 1: Procesamiento Central – A: SoC Híbrido (MCU+FPGA) — B: MCU Tradicional</t>
  </si>
  <si>
    <t xml:space="preserve">Peso</t>
  </si>
  <si>
    <t xml:space="preserve">Alternativa A</t>
  </si>
  <si>
    <t xml:space="preserve">Alternativa B</t>
  </si>
  <si>
    <t xml:space="preserve">Justificación de la valoración</t>
  </si>
  <si>
    <t xml:space="preserve">Capacidad de procesamiento paralelo</t>
  </si>
  <si>
    <t xml:space="preserve">La matriz FPGA del SoC (Alt A) permite adquirir la ráfaga de imágenes a alta velocidad; un MCU tradicional (Alt B) carece del ancho de banda y paralelismo para esta carga masiva.</t>
  </si>
  <si>
    <t xml:space="preserve">Consumo de potencia estática</t>
  </si>
  <si>
    <t xml:space="preserve">El MCU puro (Alt B) consume menos energía. Sin embargo, el SoC (Alt A) permite apagar por completo la FPGA en reposo, logrando un consumo competitivo.</t>
  </si>
  <si>
    <t xml:space="preserve">Complejidad de hardware (Área PCB)</t>
  </si>
  <si>
    <t xml:space="preserve">El SoC (Alt A) integra procesador y lógica programable en un solo encapsulado, ahorrando espacio crítico frente a soluciones discretas o pines adicionales.</t>
  </si>
  <si>
    <t xml:space="preserve">Puntaje Ponderado</t>
  </si>
  <si>
    <t xml:space="preserve">Selección</t>
  </si>
  <si>
    <t xml:space="preserve">Decisión 2: Actuadores ADCS – A: Magnetorques — B: Ruedas de Reacción</t>
  </si>
  <si>
    <t xml:space="preserve">Consumo de potencia (Pico/Nominal)</t>
  </si>
  <si>
    <t xml:space="preserve">Los magnetorques (Alt A) consumen &lt; 0,2 W por impulsos. Las ruedas de reacción (Alt B) consumen &gt; 1 W continuos, excediendo el presupuesto de 1U.</t>
  </si>
  <si>
    <t xml:space="preserve">Precisión de apuntamiento</t>
  </si>
  <si>
    <t xml:space="preserve">Las ruedas (Alt B) logran precisiones &lt; 0,1°. Los magnetorques (Alt A) logran 2°–5°, valor aceptable ya que la misión agrícola no requiere resolución microscópica.</t>
  </si>
  <si>
    <t xml:space="preserve">Impacto en volumen y masa</t>
  </si>
  <si>
    <t xml:space="preserve">Los magnetorques (Alt A) pueden embeberse en las capas de la PCB sin ocupar volumen interno. Las ruedas (Alt B) ocupan gran parte del centro del satélite.</t>
  </si>
  <si>
    <t xml:space="preserve">Decisión 3: Buses Internos – A: CAN + Interfaz Local Dedicada — B: SpaceWire</t>
  </si>
  <si>
    <t xml:space="preserve">Ahorro de pines y recursos lógicos</t>
  </si>
  <si>
    <t xml:space="preserve">CAN (Alt A) utiliza solo 2 hilos compartidos y el controlador ya está en el SoC. SpaceWire (Alt B) exige 8 hilos por enlace punto a punto y consume mucha lógica FPGA.</t>
  </si>
  <si>
    <t xml:space="preserve">Velocidad para carga útil</t>
  </si>
  <si>
    <t xml:space="preserve">SpaceWire (Alt B) es superior para redes masivas espaciales. Alt A compensa conectando la cámara directamente a la FPGA por SPI/MIPI para un flujo local sin saturar el bus CAN.</t>
  </si>
  <si>
    <t xml:space="preserve">Escalabilidad de telemetría</t>
  </si>
  <si>
    <t xml:space="preserve">El bus CAN (Alt A) es multipunto y permite agregar nodos fácilmente en la misma línea. SpaceWire (Alt B) requeriría implementar un router complejo en la FPGA.</t>
  </si>
  <si>
    <t xml:space="preserve">Decisión 4: División Física (PCBs) – A: 2 PCBs (Alta Integración) — B: 3 PCBs (Modularidad)</t>
  </si>
  <si>
    <t xml:space="preserve">Modularidad y facilidades de prueba (AIV)</t>
  </si>
  <si>
    <t xml:space="preserve">Un apilado modular de 3 tarjetas (Alt B) permite energizar, depurar y validar de forma independiente el EPS, el OBC/RF y la Carga Útil/ADCS antes del ensamblaje. En 2 PCBs (Alt A), la depuración de bloques aislados es altamente compleja.</t>
  </si>
  <si>
    <t xml:space="preserve">Aislamiento electromagnético y de señal (EMI/EMC)</t>
  </si>
  <si>
    <t xml:space="preserve">Separar los subsistemas en tarjetas independientes (Alt B) previene el acoplamiento de ruido de conmutación del EPS y la interferencia de RF sobre los sensores delicados del ADCS y el sensor de la cámara.</t>
  </si>
  <si>
    <t xml:space="preserve">Compatibilidad con el volumen interno (Eje Z)</t>
  </si>
  <si>
    <t xml:space="preserve">Aunque 2 PCBs (Alt A) liberan más espacio vertical, un apilado de 3 PCBs (Alt B) ocupa solo ≈ 34,8 mm en el eje Z, garantizando espacio suficiente (≈ 55 mm) para las baterías y el lente de la cámara.</t>
  </si>
  <si>
    <t xml:space="preserve">Confiabilidad y densidad de interconexión</t>
  </si>
  <si>
    <t xml:space="preserve">Alt A minimiza conectores de tránsito. Alt B requiere conectores de apilamiento estándar (ej. PC/104), pero este impacto se mitiga gracias a la amplia herencia de vuelo de la plataforma modular 1U.</t>
  </si>
  <si>
    <t xml:space="preserve">Nota de consistencia: en el informe el puntaje de la Alternativa B en la Decisión 1 aparece como 2.15; con los pesos y calificaciones de la tabla, el cálculo es 0,40·1 + 0,35·5 + 0,25·4 = 3,15. La selección (Alt A) no cambia. Las demás decisiones coinciden con el informe (4.65/4.40/4.70/3.30/4.45…).</t>
  </si>
  <si>
    <t xml:space="preserve">Tabla VII: Matriz de interfaces de datos y control del CubeSat</t>
  </si>
  <si>
    <t xml:space="preserve">Sección 5.4.3. Interconexiones eléctricas a través del bus de apilamiento PC/104 y líneas dedicadas entre las 3 PCBs.</t>
  </si>
  <si>
    <t xml:space="preserve">Origen</t>
  </si>
  <si>
    <t xml:space="preserve">Destino</t>
  </si>
  <si>
    <t xml:space="preserve">Señal o protocolo</t>
  </si>
  <si>
    <t xml:space="preserve">Características eléctricas preliminares</t>
  </si>
  <si>
    <t xml:space="preserve">Tasa o volumen de datos</t>
  </si>
  <si>
    <t xml:space="preserve">Observaciones</t>
  </si>
  <si>
    <t xml:space="preserve">IF-01</t>
  </si>
  <si>
    <t xml:space="preserve">PCB 1 (EPS)</t>
  </si>
  <si>
    <t xml:space="preserve">PCB 2 (OBC)</t>
  </si>
  <si>
    <t xml:space="preserve">Telemetría del sistema de potencia y comandos de carga</t>
  </si>
  <si>
    <t xml:space="preserve">Bus CAN</t>
  </si>
  <si>
    <t xml:space="preserve">Diferencial, niveles lógicos de 3,3 V (CAN Transceiver)</t>
  </si>
  <si>
    <t xml:space="preserve">500 kbps (Nominal)</t>
  </si>
  <si>
    <t xml:space="preserve">Ocupa solo 2 pines en el bus de apilamiento vertical.</t>
  </si>
  <si>
    <t xml:space="preserve">IF-02</t>
  </si>
  <si>
    <t xml:space="preserve">PCB 3 (PL)</t>
  </si>
  <si>
    <t xml:space="preserve">Transmisión de imágenes multiespectrales capturadas</t>
  </si>
  <si>
    <t xml:space="preserve">Sub-LVDS / MIPI CSI-2</t>
  </si>
  <si>
    <t xml:space="preserve">Diferencial de baja tensión, pares enrutados con impedancia controlada (100 Ω)</t>
  </si>
  <si>
    <t xml:space="preserve">≈ 7,37 MB por frame capturado</t>
  </si>
  <si>
    <t xml:space="preserve">Enlace de alta velocidad directo a los pines de la FPGA para evitar cuellos de botella.</t>
  </si>
  <si>
    <t xml:space="preserve">IF-03</t>
  </si>
  <si>
    <t xml:space="preserve">Memoria (PCB 2)</t>
  </si>
  <si>
    <t xml:space="preserve">Almacenamiento masivo temporal de imágenes</t>
  </si>
  <si>
    <t xml:space="preserve">SPI Quad / Octal</t>
  </si>
  <si>
    <t xml:space="preserve">Single-ended, niveles lógicos CMOS de 3,3 V</t>
  </si>
  <si>
    <t xml:space="preserve">&gt; 100 Mbps</t>
  </si>
  <si>
    <t xml:space="preserve">Conexión local dentro de la misma placa para minimizar interferencias EMI.</t>
  </si>
  <si>
    <t xml:space="preserve">IF-04</t>
  </si>
  <si>
    <t xml:space="preserve">PCB 3 (ADCS)</t>
  </si>
  <si>
    <t xml:space="preserve">Lectura de vectores del magnetómetro y sensores solares</t>
  </si>
  <si>
    <t xml:space="preserve">I²C / SPI</t>
  </si>
  <si>
    <t xml:space="preserve">Single-ended, bus compartido con resistencias pull-up, 3,3 V</t>
  </si>
  <si>
    <t xml:space="preserve">400 kbps (I²C Fast Mode)</t>
  </si>
  <si>
    <t xml:space="preserve">Los sensores se ubican en la placa superior para alejarlos de las corrientes del EPS.</t>
  </si>
  <si>
    <t xml:space="preserve">IF-05</t>
  </si>
  <si>
    <t xml:space="preserve">Señales de control hacia los actuadores magnéticos</t>
  </si>
  <si>
    <t xml:space="preserve">PWM (Digital)</t>
  </si>
  <si>
    <t xml:space="preserve">Señales digitales de 3,3 V dirigidas a las compuertas de los puentes H</t>
  </si>
  <si>
    <t xml:space="preserve">10 kHz–50 kHz (Frecuencia de conmutación)</t>
  </si>
  <si>
    <t xml:space="preserve">Modulación generada por los temporizadores del ARM Cortex.</t>
  </si>
  <si>
    <t xml:space="preserve">IF-06</t>
  </si>
  <si>
    <t xml:space="preserve">COMMS (UHF)</t>
  </si>
  <si>
    <t xml:space="preserve">Transmisión de paquetes de estado (housekeeping) y comandos</t>
  </si>
  <si>
    <t xml:space="preserve">UART / SPI</t>
  </si>
  <si>
    <t xml:space="preserve">Single-ended, UART a 3,3 V</t>
  </si>
  <si>
    <t xml:space="preserve">9,6 kbps</t>
  </si>
  <si>
    <t xml:space="preserve">Interfaz crítica y de ultra bajo consumo hacia el transceptor TRX-U.</t>
  </si>
  <si>
    <t xml:space="preserve">IF-07</t>
  </si>
  <si>
    <t xml:space="preserve">COMMS (Banda S)</t>
  </si>
  <si>
    <t xml:space="preserve">Descarga de carga útil hacia la estación terrestre</t>
  </si>
  <si>
    <t xml:space="preserve">LVDS</t>
  </si>
  <si>
    <t xml:space="preserve">Diferencial de baja tensión (100 Ω de impedancia característica)</t>
  </si>
  <si>
    <t xml:space="preserve">1 Mbps – 8 Mbps</t>
  </si>
  <si>
    <t xml:space="preserve">El transmisor de Banda S se enciende únicamente durante el pase sobre Medellín.</t>
  </si>
  <si>
    <t xml:space="preserve">Tabla VIII: Matriz de conexiones con periféricos</t>
  </si>
  <si>
    <t xml:space="preserve">Sección 5.4.4. Interacción de los subsistemas internos con el entorno físico, las antenas y las caras estructurales de la plataforma 1U.</t>
  </si>
  <si>
    <t xml:space="preserve">Periférico / Módulo</t>
  </si>
  <si>
    <t xml:space="preserve">Subsistema</t>
  </si>
  <si>
    <t xml:space="preserve">Tipo de Conexión</t>
  </si>
  <si>
    <t xml:space="preserve">Función y Descripción</t>
  </si>
  <si>
    <t xml:space="preserve">Paneles Solares (Caras X, Y, Z)</t>
  </si>
  <si>
    <t xml:space="preserve">EPS (PCB 1)</t>
  </si>
  <si>
    <t xml:space="preserve">Potencia (DC)</t>
  </si>
  <si>
    <t xml:space="preserve">Arneses de cableado directo desde las caras estructurales hacia los reguladores MPPT en la tarjeta de potencia.</t>
  </si>
  <si>
    <t xml:space="preserve">Pack de Baterías</t>
  </si>
  <si>
    <t xml:space="preserve">Potencia y Térmica</t>
  </si>
  <si>
    <t xml:space="preserve">Conexión de potencia bidireccional y lectura del termistor interno para monitoreo y protección contra temperaturas extremas en vacío.</t>
  </si>
  <si>
    <t xml:space="preserve">Sensor Óptico (Lente)</t>
  </si>
  <si>
    <t xml:space="preserve">Carga Útil (PCB 3)</t>
  </si>
  <si>
    <t xml:space="preserve">Óptico-Mecánica</t>
  </si>
  <si>
    <t xml:space="preserve">Integración del tren óptico acoplado físicamente sobre el sensor multiespectral en la PCB 3, alineado con la ventana del chasis.</t>
  </si>
  <si>
    <t xml:space="preserve">Magnetorques Triaxiales</t>
  </si>
  <si>
    <t xml:space="preserve">ADCS (PCB 3)</t>
  </si>
  <si>
    <t xml:space="preserve">Potencia de Control</t>
  </si>
  <si>
    <t xml:space="preserve">Cables enrutados desde los puentes H en la tarjeta superior hacia las bobinas con núcleo magnético montadas en la estructura.</t>
  </si>
  <si>
    <t xml:space="preserve">Antena UHF Desplegable</t>
  </si>
  <si>
    <t xml:space="preserve">COMMS (PCB 2)</t>
  </si>
  <si>
    <t xml:space="preserve">Radiofrecuencia</t>
  </si>
  <si>
    <t xml:space="preserve">Cable coaxial micro-RF (U.FL a SMA) de 50 Ω hacia el mecanismo de despliegue en la cara de radiación UHF.</t>
  </si>
  <si>
    <t xml:space="preserve">Antena Banda S (Parche)</t>
  </si>
  <si>
    <t xml:space="preserve">Línea coaxial rígida de baja pérdida en 2,4 GHz hacia el arreglo de parche direccional en la cara externa de transmisión.</t>
  </si>
  <si>
    <t xml:space="preserve">Microinterruptores (Kill-Switches)</t>
  </si>
  <si>
    <t xml:space="preserve">Señal Discreta</t>
  </si>
  <si>
    <t xml:space="preserve">Conectores dedicados para los switches mecánicos de los rieles que aíslan la batería mientras el satélite permanece en el P-POD.</t>
  </si>
  <si>
    <t xml:space="preserve">Tabla IX: Presupuesto preliminar de masa</t>
  </si>
  <si>
    <t xml:space="preserve">Sección 6.1. Masas y margen editables (amarillo); totales calculados (verde).</t>
  </si>
  <si>
    <t xml:space="preserve">Elemento</t>
  </si>
  <si>
    <t xml:space="preserve">Masa [g]</t>
  </si>
  <si>
    <t xml:space="preserve">Fuente de estimación</t>
  </si>
  <si>
    <t xml:space="preserve">Estructura CubeSat 1U</t>
  </si>
  <si>
    <t xml:space="preserve">Estimación preliminar</t>
  </si>
  <si>
    <t xml:space="preserve">EPS STARBUCK-NANO</t>
  </si>
  <si>
    <t xml:space="preserve">Referencia comercial</t>
  </si>
  <si>
    <t xml:space="preserve">Pack de baterías</t>
  </si>
  <si>
    <t xml:space="preserve">Paneles solares</t>
  </si>
  <si>
    <t xml:space="preserve">OBC + memorias</t>
  </si>
  <si>
    <t xml:space="preserve">SmartFusion2 / Kryten-M3</t>
  </si>
  <si>
    <t xml:space="preserve">Transceptor UHF</t>
  </si>
  <si>
    <t xml:space="preserve">TRX-U</t>
  </si>
  <si>
    <t xml:space="preserve">Transmisor Banda S</t>
  </si>
  <si>
    <t xml:space="preserve">Transmisor S-band equivalente</t>
  </si>
  <si>
    <t xml:space="preserve">Cámara + sistema óptico</t>
  </si>
  <si>
    <t xml:space="preserve">Sensores ADCS</t>
  </si>
  <si>
    <t xml:space="preserve">MM200 + SS200 + IMU</t>
  </si>
  <si>
    <t xml:space="preserve">Tres magnetorques</t>
  </si>
  <si>
    <t xml:space="preserve">≈ 14 g por eje</t>
  </si>
  <si>
    <t xml:space="preserve">Antenas y mecanismos</t>
  </si>
  <si>
    <t xml:space="preserve">Cableado y conectores</t>
  </si>
  <si>
    <t xml:space="preserve">Margen de integración</t>
  </si>
  <si>
    <t xml:space="preserve">Masa estimada</t>
  </si>
  <si>
    <t xml:space="preserve">Masa total con margen</t>
  </si>
  <si>
    <t xml:space="preserve">Margen respecto al límite de masa</t>
  </si>
  <si>
    <t xml:space="preserve">Parámetros del presupuesto</t>
  </si>
  <si>
    <t xml:space="preserve">Margen de diseño</t>
  </si>
  <si>
    <t xml:space="preserve">Informe, sección 6.1</t>
  </si>
  <si>
    <t xml:space="preserve">Límite de masa adoptado [g]</t>
  </si>
  <si>
    <t xml:space="preserve">ET-MEC-02: ≤ 2,00 kg (CDS Rev. 14.1)</t>
  </si>
  <si>
    <t xml:space="preserve">Verificación contra los valores impresos en el informe</t>
  </si>
  <si>
    <t xml:space="preserve">Concepto</t>
  </si>
  <si>
    <t xml:space="preserve">Valor informe [g]</t>
  </si>
  <si>
    <t xml:space="preserve">Diferencia vs. cálculo [g]</t>
  </si>
  <si>
    <t xml:space="preserve">Margen de diseño (20 %)</t>
  </si>
  <si>
    <t xml:space="preserve">Margen respecto a 2 kg</t>
  </si>
  <si>
    <t xml:space="preserve">Nota de consistencia: la suma aritmética de los 12 elementos de la Tabla IX es 1238 g, no 1138 g como aparece en el informe (diferencia de 100 g). Con 20 % de margen resultan ≈ 1486 g y ≈ 514 g de holgura frente a 2 kg; el criterio de masa (≤ 2 kg) se sigue cumpliendo. Se sugiere corregir los totales del informe.</t>
  </si>
  <si>
    <t xml:space="preserve">Tabla X: Presupuesto preliminar de potencia y recursos</t>
  </si>
  <si>
    <t xml:space="preserve">Sección 6.2 y 6.2.1. Energía por órbita = P·D·T_orb (Ec. 1). Entradas en amarillo, resultados calculados en verde.</t>
  </si>
  <si>
    <t xml:space="preserve">Potencia nominal [W]</t>
  </si>
  <si>
    <t xml:space="preserve">Potencia máxima [W]</t>
  </si>
  <si>
    <t xml:space="preserve">Ciclo de actividad estimado</t>
  </si>
  <si>
    <t xml:space="preserve">Energía estimada [Wh/órbita]</t>
  </si>
  <si>
    <t xml:space="preserve">Masa estimada [g]</t>
  </si>
  <si>
    <t xml:space="preserve">Volumen asignado [cm³]</t>
  </si>
  <si>
    <t xml:space="preserve">Fuente de la estimación</t>
  </si>
  <si>
    <t xml:space="preserve">EPS</t>
  </si>
  <si>
    <t xml:space="preserve">STARBUCK-NANO + batería</t>
  </si>
  <si>
    <t xml:space="preserve">OBC + memoria</t>
  </si>
  <si>
    <t xml:space="preserve">Kryten-M3 / SmartFusion2</t>
  </si>
  <si>
    <t xml:space="preserve">Carga útil</t>
  </si>
  <si>
    <t xml:space="preserve">Cámara multiespectral</t>
  </si>
  <si>
    <t xml:space="preserve">Magnetorques</t>
  </si>
  <si>
    <t xml:space="preserve">Tres actuadores magnéticos</t>
  </si>
  <si>
    <t xml:space="preserve">COMMS UHF</t>
  </si>
  <si>
    <t xml:space="preserve">COMMS Banda S</t>
  </si>
  <si>
    <t xml:space="preserve">Transmisor S-band</t>
  </si>
  <si>
    <t xml:space="preserve">Total</t>
  </si>
  <si>
    <t xml:space="preserve">Balance energético preliminar (sección 6.2)</t>
  </si>
  <si>
    <t xml:space="preserve">Parámetro</t>
  </si>
  <si>
    <t xml:space="preserve">Valor</t>
  </si>
  <si>
    <t xml:space="preserve">Ecuación / fundamento</t>
  </si>
  <si>
    <t xml:space="preserve">Período orbital</t>
  </si>
  <si>
    <t xml:space="preserve">min</t>
  </si>
  <si>
    <t xml:space="preserve">Supuesto del informe (LEO ≈ 550 km)</t>
  </si>
  <si>
    <t xml:space="preserve">Período orbital T_orb</t>
  </si>
  <si>
    <t xml:space="preserve">h</t>
  </si>
  <si>
    <t xml:space="preserve">Ec. (2): T_orb = 95,5/60 ≃ 1,592 h</t>
  </si>
  <si>
    <t xml:space="preserve">Potencia media equivalente P_media</t>
  </si>
  <si>
    <t xml:space="preserve">Ec. (3)-(4): P_media = Σ P_i·D_i ≃ 1,07 W</t>
  </si>
  <si>
    <t xml:space="preserve">Energía consumida por órbita E_cons</t>
  </si>
  <si>
    <t xml:space="preserve">Wh/órbita</t>
  </si>
  <si>
    <t xml:space="preserve">Ec. (1) y (5): E_i = P_i·D_i·T_orb ; E_cons ≃ 1,70 Wh/órbita</t>
  </si>
  <si>
    <t xml:space="preserve">Potencia solar disponible P_solar</t>
  </si>
  <si>
    <t xml:space="preserve">Estimación inicial durante iluminación</t>
  </si>
  <si>
    <t xml:space="preserve">Fracción iluminada D_sol</t>
  </si>
  <si>
    <t xml:space="preserve">Estimación inicial</t>
  </si>
  <si>
    <t xml:space="preserve">Eficiencia global η</t>
  </si>
  <si>
    <t xml:space="preserve">Almacenamiento y conversión</t>
  </si>
  <si>
    <t xml:space="preserve">Energía útil generada E_gen</t>
  </si>
  <si>
    <t xml:space="preserve">Ec. (6)-(7): E_gen = P_solar·D_sol·T_orb·η ≃ 2,10</t>
  </si>
  <si>
    <t xml:space="preserve">Balance energético ΔE</t>
  </si>
  <si>
    <t xml:space="preserve">Ec. (8): ΔE = E_gen − E_cons ≃ 0,40 (ET-EPS-03)</t>
  </si>
  <si>
    <t xml:space="preserve">Margen energético ME</t>
  </si>
  <si>
    <t xml:space="preserve">Ec. (9): ME = ΔE/E_cons × 100 ≃ 23,5 %</t>
  </si>
  <si>
    <t xml:space="preserve">Criterio ΔE &gt; 0</t>
  </si>
  <si>
    <t xml:space="preserve">Ec. (10) / RNF-02</t>
  </si>
  <si>
    <t xml:space="preserve">Capacidad preliminar de la batería (sección 6.2.1)</t>
  </si>
  <si>
    <t xml:space="preserve">Fracción de eclipse D_ecl</t>
  </si>
  <si>
    <t xml:space="preserve">Ec. (11): 1 − 0,62 = 0,38</t>
  </si>
  <si>
    <t xml:space="preserve">Tiempo de eclipse por órbita T_ecl</t>
  </si>
  <si>
    <t xml:space="preserve">Ec. (12): ≃ 0,605 h</t>
  </si>
  <si>
    <t xml:space="preserve">Energía requerida en eclipse E_ecl</t>
  </si>
  <si>
    <t xml:space="preserve">Ec. (13): P_media·T_ecl ≃ 0,65 Wh</t>
  </si>
  <si>
    <t xml:space="preserve">Profundidad máxima de descarga</t>
  </si>
  <si>
    <t xml:space="preserve">Supuesto del informe</t>
  </si>
  <si>
    <t xml:space="preserve">Eficiencia de descarga</t>
  </si>
  <si>
    <t xml:space="preserve">Capacidad mínima teórica C_bat,min</t>
  </si>
  <si>
    <t xml:space="preserve">Ec. (14): E_ecl/(DoD·η) ≃ 0,90 Wh (ET-EPS-04)</t>
  </si>
  <si>
    <t xml:space="preserve">Pack de baterías adoptado</t>
  </si>
  <si>
    <t xml:space="preserve">Valor preliminar del informe; se actualizará al seleccionar la batería definitiva</t>
  </si>
  <si>
    <t xml:space="preserve">Factor de holgura sobre el mínimo</t>
  </si>
  <si>
    <t xml:space="preserve">×</t>
  </si>
  <si>
    <t xml:space="preserve">Capacidad adoptada / capacidad mínima</t>
  </si>
  <si>
    <t xml:space="preserve">Tabla XI: Presupuesto preliminar de volumen de información</t>
  </si>
  <si>
    <t xml:space="preserve">Sección 6.3. Cámara de referencia 2048×1088 px, 15 bandas, 10 bits almacenados en 16 bits. Entradas en amarillo, resultados en verde.</t>
  </si>
  <si>
    <t xml:space="preserve">Fuente de datos</t>
  </si>
  <si>
    <t xml:space="preserve">Datos por adquisición</t>
  </si>
  <si>
    <t xml:space="preserve">Adquisiciones estimadas</t>
  </si>
  <si>
    <t xml:space="preserve">Volumen acumulado</t>
  </si>
  <si>
    <t xml:space="preserve">Almacenamiento requerido</t>
  </si>
  <si>
    <t xml:space="preserve">Tasa mínima de transferencia</t>
  </si>
  <si>
    <t xml:space="preserve">Telemetría de estado</t>
  </si>
  <si>
    <t xml:space="preserve">≈ 1 kB</t>
  </si>
  <si>
    <t xml:space="preserve">≈ 100/órbita</t>
  </si>
  <si>
    <t xml:space="preserve">≈ 0,1 MB</t>
  </si>
  <si>
    <t xml:space="preserve">&lt; 1 MB</t>
  </si>
  <si>
    <t xml:space="preserve">Comandos desde tierra</t>
  </si>
  <si>
    <t xml:space="preserve">&lt; 1 kB</t>
  </si>
  <si>
    <t xml:space="preserve">Esporádico</t>
  </si>
  <si>
    <t xml:space="preserve">Despreciable</t>
  </si>
  <si>
    <t xml:space="preserve">Cálculos de soporte (Ecuaciones 15 a 21)</t>
  </si>
  <si>
    <t xml:space="preserve">Píxeles horizontales</t>
  </si>
  <si>
    <t xml:space="preserve">px</t>
  </si>
  <si>
    <t xml:space="preserve">Cámara de referencia (Tabla V)</t>
  </si>
  <si>
    <t xml:space="preserve">Píxeles verticales</t>
  </si>
  <si>
    <t xml:space="preserve">Número de bandas</t>
  </si>
  <si>
    <t xml:space="preserve">600–860 nm (Tabla V)</t>
  </si>
  <si>
    <t xml:space="preserve">Bytes por muestra almacenada</t>
  </si>
  <si>
    <t xml:space="preserve">B</t>
  </si>
  <si>
    <t xml:space="preserve">Muestra de 10 bits almacenada en palabra de 16 bits</t>
  </si>
  <si>
    <t xml:space="preserve">Adquisiciones entre descargas</t>
  </si>
  <si>
    <t xml:space="preserve">Diez conjuntos multiespectrales entre oportunidades de descarga</t>
  </si>
  <si>
    <t xml:space="preserve">Factor de compresión</t>
  </si>
  <si>
    <t xml:space="preserve">:1</t>
  </si>
  <si>
    <t xml:space="preserve">Compresión preliminar 2:1 ejecutada por el SoC</t>
  </si>
  <si>
    <t xml:space="preserve">Ventana efectiva de comunicación banda S</t>
  </si>
  <si>
    <t xml:space="preserve">Aproximadamente ocho minutos</t>
  </si>
  <si>
    <t xml:space="preserve">Tasa máxima del transmisor banda S</t>
  </si>
  <si>
    <t xml:space="preserve">Mbps</t>
  </si>
  <si>
    <t xml:space="preserve">PULSAR-HSTX-C (hasta ≈ 8 Mbps)</t>
  </si>
  <si>
    <t xml:space="preserve">Volumen por banda V_banda</t>
  </si>
  <si>
    <t xml:space="preserve">Ec. (15): 2048 × 1088 × 2 ≃ 4,46 MB</t>
  </si>
  <si>
    <t xml:space="preserve">Volumen por adquisición V_adq</t>
  </si>
  <si>
    <t xml:space="preserve">Ec. (16): 4,46 × 15 ≃ 66,85 MB</t>
  </si>
  <si>
    <t xml:space="preserve">Volumen acumulado sin compresión V_total</t>
  </si>
  <si>
    <t xml:space="preserve">Ec. (17): 10 × 66,85 = 668,5 MB</t>
  </si>
  <si>
    <t xml:space="preserve">V_total / 1000 (frente a ≥ 4 GB de memoria no volátil)</t>
  </si>
  <si>
    <t xml:space="preserve">Volumen a descargar V_TX</t>
  </si>
  <si>
    <t xml:space="preserve">Ec. (18): 668,5 / 2 ≃ 334,25 MB</t>
  </si>
  <si>
    <t xml:space="preserve">Tasa neta mínima R_min</t>
  </si>
  <si>
    <t xml:space="preserve">Ec. (19): 334,25 × 8 / (8 × 60) ≃ 5,57 Mbps</t>
  </si>
  <si>
    <t xml:space="preserve">Verificación R_min ≤ tasa máxima</t>
  </si>
  <si>
    <t xml:space="preserve">R_min dentro de la capacidad de hasta 8 Mbps</t>
  </si>
  <si>
    <t xml:space="preserve">Tiempo de descarga de una adquisición (sin compresión)</t>
  </si>
  <si>
    <t xml:space="preserve">s</t>
  </si>
  <si>
    <t xml:space="preserve">Ec. (20): 66,85 × 8 / 8 ≃ 66,9 s</t>
  </si>
  <si>
    <t xml:space="preserve">Tiempo de descarga de una adquisición (comprimida)</t>
  </si>
  <si>
    <t xml:space="preserve">Ec. (21): ≃ 33,4 s</t>
  </si>
  <si>
    <t xml:space="preserve">Tabla XII: Matriz de riesgos técnicos y estrategias de mitigación</t>
  </si>
  <si>
    <t xml:space="preserve">Sección 7.2 del informe.</t>
  </si>
  <si>
    <t xml:space="preserve">Descripción del riesgo</t>
  </si>
  <si>
    <t xml:space="preserve">Probabilidad</t>
  </si>
  <si>
    <t xml:space="preserve">Impacto</t>
  </si>
  <si>
    <t xml:space="preserve">Estrategia de mitigación en el diseño</t>
  </si>
  <si>
    <t xml:space="preserve">Eventos Singulares por Radiación (SEU / SEL)
Alteración de bits lógicos o cortocircuitos destructivos causados por iones pesados en el ambiente espacial de 550 km.</t>
  </si>
  <si>
    <t xml:space="preserve">Alto</t>
  </si>
  <si>
    <t xml:space="preserve">Hardware: Uso de limitadores de corriente (LCL) en la PCB del EPS para aislar cortocircuitos.
Software/Lógica: Implementación de Watchdog Timers en el OBC y memoria ECC (Error Correction Code) en los datos críticos.</t>
  </si>
  <si>
    <t xml:space="preserve">Falla Estructural en Interconexiones
Desconexión de los pines de tránsito del bus PC/104 entre las 3 PCBs debido a cargas acústicas y vibración extrema en el lanzamiento.</t>
  </si>
  <si>
    <t xml:space="preserve">Crítico</t>
  </si>
  <si>
    <t xml:space="preserve">Mecánica: Fijación rígida del apilamiento utilizando 4 separadores pasantes de aluminio.
Eléctrica: Duplicación de pines para las líneas críticas de potencia (3,3 V, 5 V y GND) en el bus del sistema.</t>
  </si>
  <si>
    <t xml:space="preserve">Saturación del Almacenamiento Masivo
Generación de datos de la cámara multiespectral superior a la capacidad de descarga durante el corto pase sobre la estación en Medellín.</t>
  </si>
  <si>
    <t xml:space="preserve">Medio</t>
  </si>
  <si>
    <t xml:space="preserve">Operacional: La matriz FPGA del SmartFusion2 se utilizará para realizar compresión sin pérdidas antes de guardar las imágenes. Se implementará una política de borrado automático tras recibir el acuse de recibo de la estación terrestre.</t>
  </si>
  <si>
    <t xml:space="preserve">Degradación Térmica de Baterías
Operación de las celdas de iones de litio por fuera de su rango seguro (0 °C a 45 °C) durante ciclos prolongados de eclipse solar.</t>
  </si>
  <si>
    <t xml:space="preserve">Hardware: Inclusión de un termistor en el pack de baterías conectado al EPS. El circuito integrado de gestión suspenderá físicamente los ciclos de carga/descarga si se detectan temperaturas críticas.</t>
  </si>
  <si>
    <t xml:space="preserve">Desaturación Insuficiente del ADCS
Acumulación excesiva de momento magnético residual que impida a los magnetorques estabilizar la orientación requerida para la toma de imágenes.</t>
  </si>
  <si>
    <t xml:space="preserve">Operacional: Configuración de rutinas pasivas B-Dot previas a la misión principal, asegurando que las bobinas operen con margen suficiente respecto a la intensidad del campo geomagnético orbital.</t>
  </si>
  <si>
    <t xml:space="preserve">Matriz de trazabilidad (extra) – requisitos, especificaciones y evidencia</t>
  </si>
  <si>
    <t xml:space="preserve">Hoja auxiliar que no está en el informe: se genera desde las columnas 'Requisitos asociados' y 'Método' de la Tabla IV; la columna de evidencia apunta a las hojas de este libro.</t>
  </si>
  <si>
    <t xml:space="preserve">Especificación asociada</t>
  </si>
  <si>
    <t xml:space="preserve">Elemento / arquitectura</t>
  </si>
  <si>
    <t xml:space="preserve">Evidencia en este Excel</t>
  </si>
  <si>
    <t xml:space="preserve">Método previsto</t>
  </si>
  <si>
    <t xml:space="preserve">ET-PL-01, ET-PL-02, ET-DAT-01</t>
  </si>
  <si>
    <t xml:space="preserve">Carga útil multiespectral / PCB 3</t>
  </si>
  <si>
    <t xml:space="preserve">T05_Func_HW_SW, T11_Memoria_Datos</t>
  </si>
  <si>
    <t xml:space="preserve">ET-DAT-01, ET-DAT-02</t>
  </si>
  <si>
    <t xml:space="preserve">Memoria no volátil / OBC (PCB 2)</t>
  </si>
  <si>
    <t xml:space="preserve">ET-COM-01, ET-COM-03</t>
  </si>
  <si>
    <t xml:space="preserve">UHF + banda S / PCB 2</t>
  </si>
  <si>
    <t xml:space="preserve">T07_Interfaces, T11_Memoria_Datos</t>
  </si>
  <si>
    <t xml:space="preserve">TRX-U / OBC</t>
  </si>
  <si>
    <t xml:space="preserve">Sensores ADCS / PCB 3</t>
  </si>
  <si>
    <t xml:space="preserve">T05_Func_HW_SW, T07_Interfaces</t>
  </si>
  <si>
    <t xml:space="preserve">Magnetorques / PCB 3</t>
  </si>
  <si>
    <t xml:space="preserve">T06_Matriz_Decision, T10_Potencia_Energia</t>
  </si>
  <si>
    <t xml:space="preserve">ET-EPS-01, ET-EPS-05</t>
  </si>
  <si>
    <t xml:space="preserve">Paneles + MPPT / PCB 1</t>
  </si>
  <si>
    <t xml:space="preserve">ET-EPS-02, ET-EPS-04</t>
  </si>
  <si>
    <t xml:space="preserve">Batería / PCB 1</t>
  </si>
  <si>
    <t xml:space="preserve">Plataforma completa (6 meses)</t>
  </si>
  <si>
    <t xml:space="preserve">Pendiente: análisis de vida útil</t>
  </si>
  <si>
    <t xml:space="preserve">ET-EPS-03, ET-EPS-04, ET-EPS-05</t>
  </si>
  <si>
    <t xml:space="preserve">ET-COM-02, ET-GS-01</t>
  </si>
  <si>
    <t xml:space="preserve">COMMS / estación Medellín</t>
  </si>
  <si>
    <t xml:space="preserve">Pendiente: presupuesto de enlace detallado</t>
  </si>
  <si>
    <t xml:space="preserve">ET-INT-01, ET-INT-02</t>
  </si>
  <si>
    <t xml:space="preserve">Bus de potencia + datos</t>
  </si>
  <si>
    <t xml:space="preserve">T07_Interfaces, T08_Perifericos</t>
  </si>
  <si>
    <t xml:space="preserve">Componentes y materiales (vacío)</t>
  </si>
  <si>
    <t xml:space="preserve">Pendiente: caracterización de componentes</t>
  </si>
  <si>
    <t xml:space="preserve">ET-ORB-01, ET-ORB-02, ET-TH-01</t>
  </si>
  <si>
    <t xml:space="preserve">Sistema completo (ciclos térmicos)</t>
  </si>
  <si>
    <t xml:space="preserve">Pendiente: análisis térmico</t>
  </si>
  <si>
    <t xml:space="preserve">Estructura y apilamiento PC/104</t>
  </si>
  <si>
    <t xml:space="preserve">T12_Riesgos; pendiente: análisis estructural</t>
  </si>
  <si>
    <t xml:space="preserve">ET-ORB-01, ET-ORB-02, ET-RAD-01</t>
  </si>
  <si>
    <t xml:space="preserve">Electrónica crítica (TID)</t>
  </si>
  <si>
    <t xml:space="preserve">T12_Riesgos; pendiente: modelo de radiación</t>
  </si>
  <si>
    <t xml:space="preserve">Componentes susceptibles a SEL</t>
  </si>
  <si>
    <t xml:space="preserve">T12_Riesgos; pendiente: revisión documental</t>
  </si>
  <si>
    <t xml:space="preserve">ET-MEC-01, ET-MEC-02, ET-MEC-03, ET-MEC-04</t>
  </si>
  <si>
    <t xml:space="preserve">Estructura 1U</t>
  </si>
  <si>
    <t xml:space="preserve">Estructura y fijaciones</t>
  </si>
  <si>
    <t xml:space="preserve">ET-MAT-01, ET-MAT-02</t>
  </si>
  <si>
    <t xml:space="preserve">Materiales / PCB / estructura</t>
  </si>
  <si>
    <t xml:space="preserve">Pendiente: lista de materiales</t>
  </si>
  <si>
    <t xml:space="preserve">COMMS (UHF y banda S)</t>
  </si>
  <si>
    <t xml:space="preserve">Pendiente: análisis regulatorio</t>
  </si>
</sst>
</file>

<file path=xl/styles.xml><?xml version="1.0" encoding="utf-8"?>
<styleSheet xmlns="http://schemas.openxmlformats.org/spreadsheetml/2006/main">
  <numFmts count="13">
    <numFmt numFmtId="164" formatCode="General"/>
    <numFmt numFmtId="165" formatCode="0%"/>
    <numFmt numFmtId="166" formatCode="0.00"/>
    <numFmt numFmtId="167" formatCode="#,##0"/>
    <numFmt numFmtId="168" formatCode="#,##0;\-#,##0;0"/>
    <numFmt numFmtId="169" formatCode="0.000"/>
    <numFmt numFmtId="170" formatCode="0.0"/>
    <numFmt numFmtId="171" formatCode="0.0%"/>
    <numFmt numFmtId="172" formatCode="0.00&quot; MB&quot;"/>
    <numFmt numFmtId="173" formatCode="0"/>
    <numFmt numFmtId="174" formatCode="0.0&quot; MB&quot;"/>
    <numFmt numFmtId="175" formatCode="&quot;≥ &quot;0.00&quot; GB&quot;"/>
    <numFmt numFmtId="176" formatCode="&quot;≈ &quot;0.0&quot; Mbps&quot;"/>
  </numFmts>
  <fonts count="11">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i val="true"/>
      <sz val="10"/>
      <color rgb="FF17365D"/>
      <name val="Calibri"/>
      <family val="0"/>
      <charset val="1"/>
    </font>
    <font>
      <b val="true"/>
      <sz val="10"/>
      <color rgb="FFFFFFFF"/>
      <name val="Calibri"/>
      <family val="0"/>
      <charset val="1"/>
    </font>
    <font>
      <sz val="10"/>
      <color rgb="FF1F1F1F"/>
      <name val="Calibri"/>
      <family val="0"/>
      <charset val="1"/>
    </font>
    <font>
      <b val="true"/>
      <sz val="10"/>
      <color rgb="FF17365D"/>
      <name val="Calibri"/>
      <family val="0"/>
      <charset val="1"/>
    </font>
    <font>
      <b val="true"/>
      <sz val="10"/>
      <color rgb="FF1F1F1F"/>
      <name val="Calibri"/>
      <family val="0"/>
      <charset val="1"/>
    </font>
    <font>
      <i val="true"/>
      <sz val="9"/>
      <color rgb="FF595959"/>
      <name val="Calibri"/>
      <family val="0"/>
      <charset val="1"/>
    </font>
  </fonts>
  <fills count="9">
    <fill>
      <patternFill patternType="none"/>
    </fill>
    <fill>
      <patternFill patternType="gray125"/>
    </fill>
    <fill>
      <patternFill patternType="solid">
        <fgColor rgb="FF17365D"/>
        <bgColor rgb="FF1F4E78"/>
      </patternFill>
    </fill>
    <fill>
      <patternFill patternType="solid">
        <fgColor rgb="FFEAF3F8"/>
        <bgColor rgb="FFF2F2F2"/>
      </patternFill>
    </fill>
    <fill>
      <patternFill patternType="solid">
        <fgColor rgb="FF1F4E78"/>
        <bgColor rgb="FF17365D"/>
      </patternFill>
    </fill>
    <fill>
      <patternFill patternType="solid">
        <fgColor rgb="FFFFF2CC"/>
        <bgColor rgb="FFF2F2F2"/>
      </patternFill>
    </fill>
    <fill>
      <patternFill patternType="solid">
        <fgColor rgb="FFE2F0D9"/>
        <bgColor rgb="FFEAF3F8"/>
      </patternFill>
    </fill>
    <fill>
      <patternFill patternType="solid">
        <fgColor rgb="FFD9EAF7"/>
        <bgColor rgb="FFEAF3F8"/>
      </patternFill>
    </fill>
    <fill>
      <patternFill patternType="solid">
        <fgColor rgb="FFF2F2F2"/>
        <bgColor rgb="FFEAF3F8"/>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5" fontId="7" fillId="5"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5" fontId="9" fillId="6" borderId="1" xfId="0" applyFont="true" applyBorder="true" applyAlignment="true" applyProtection="false">
      <alignment horizontal="center" vertical="top" textRotation="0" wrapText="true" indent="0" shrinkToFit="false"/>
      <protection locked="true" hidden="false"/>
    </xf>
    <xf numFmtId="166" fontId="9" fillId="6" borderId="1" xfId="0" applyFont="true" applyBorder="true" applyAlignment="true" applyProtection="false">
      <alignment horizontal="center" vertical="top" textRotation="0" wrapText="true" indent="0" shrinkToFit="false"/>
      <protection locked="true" hidden="false"/>
    </xf>
    <xf numFmtId="167" fontId="7" fillId="5" borderId="1" xfId="0" applyFont="true" applyBorder="true" applyAlignment="true" applyProtection="false">
      <alignment horizontal="center" vertical="top" textRotation="0" wrapText="true" indent="0" shrinkToFit="false"/>
      <protection locked="true" hidden="false"/>
    </xf>
    <xf numFmtId="167" fontId="9" fillId="6"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7" fontId="7" fillId="8" borderId="1" xfId="0" applyFont="true" applyBorder="true" applyAlignment="true" applyProtection="false">
      <alignment horizontal="center" vertical="top" textRotation="0" wrapText="true" indent="0" shrinkToFit="false"/>
      <protection locked="true" hidden="false"/>
    </xf>
    <xf numFmtId="168" fontId="7" fillId="6" borderId="1" xfId="0" applyFont="true" applyBorder="true" applyAlignment="true" applyProtection="false">
      <alignment horizontal="center" vertical="top" textRotation="0" wrapText="true" indent="0" shrinkToFit="false"/>
      <protection locked="true" hidden="false"/>
    </xf>
    <xf numFmtId="166" fontId="7" fillId="5" borderId="1" xfId="0" applyFont="true" applyBorder="true" applyAlignment="true" applyProtection="false">
      <alignment horizontal="center" vertical="top" textRotation="0" wrapText="true" indent="0" shrinkToFit="false"/>
      <protection locked="true" hidden="false"/>
    </xf>
    <xf numFmtId="169" fontId="7" fillId="6" borderId="1" xfId="0" applyFont="true" applyBorder="true" applyAlignment="true" applyProtection="false">
      <alignment horizontal="center" vertical="top" textRotation="0" wrapText="tru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70" fontId="7" fillId="5" borderId="1" xfId="0" applyFont="true" applyBorder="true" applyAlignment="true" applyProtection="false">
      <alignment horizontal="center" vertical="top" textRotation="0" wrapText="true" indent="0" shrinkToFit="false"/>
      <protection locked="true" hidden="false"/>
    </xf>
    <xf numFmtId="166" fontId="7" fillId="6" borderId="1" xfId="0" applyFont="true" applyBorder="true" applyAlignment="true" applyProtection="false">
      <alignment horizontal="center" vertical="top" textRotation="0" wrapText="true" indent="0" shrinkToFit="false"/>
      <protection locked="true" hidden="false"/>
    </xf>
    <xf numFmtId="171" fontId="7" fillId="6" borderId="1" xfId="0" applyFont="true" applyBorder="true" applyAlignment="true" applyProtection="false">
      <alignment horizontal="center" vertical="top" textRotation="0" wrapText="true" indent="0" shrinkToFit="false"/>
      <protection locked="true" hidden="false"/>
    </xf>
    <xf numFmtId="170" fontId="7" fillId="6" borderId="1" xfId="0" applyFont="true" applyBorder="true" applyAlignment="true" applyProtection="false">
      <alignment horizontal="center" vertical="top" textRotation="0" wrapText="true" indent="0" shrinkToFit="false"/>
      <protection locked="true" hidden="false"/>
    </xf>
    <xf numFmtId="172" fontId="7" fillId="6" borderId="1" xfId="0" applyFont="true" applyBorder="true" applyAlignment="true" applyProtection="false">
      <alignment horizontal="center" vertical="top" textRotation="0" wrapText="true" indent="0" shrinkToFit="false"/>
      <protection locked="true" hidden="false"/>
    </xf>
    <xf numFmtId="173" fontId="7" fillId="6" borderId="1" xfId="0" applyFont="true" applyBorder="true" applyAlignment="true" applyProtection="false">
      <alignment horizontal="center" vertical="top" textRotation="0" wrapText="true" indent="0" shrinkToFit="false"/>
      <protection locked="true" hidden="false"/>
    </xf>
    <xf numFmtId="174" fontId="7" fillId="6" borderId="1" xfId="0" applyFont="true" applyBorder="true" applyAlignment="true" applyProtection="false">
      <alignment horizontal="center" vertical="top" textRotation="0" wrapText="true" indent="0" shrinkToFit="false"/>
      <protection locked="true" hidden="false"/>
    </xf>
    <xf numFmtId="175" fontId="7" fillId="6" borderId="1" xfId="0" applyFont="true" applyBorder="true" applyAlignment="true" applyProtection="false">
      <alignment horizontal="center" vertical="top" textRotation="0" wrapText="true" indent="0" shrinkToFit="false"/>
      <protection locked="true" hidden="false"/>
    </xf>
    <xf numFmtId="176" fontId="7" fillId="6" borderId="1" xfId="0" applyFont="true" applyBorder="true" applyAlignment="true" applyProtection="false">
      <alignment horizontal="center" vertical="top" textRotation="0" wrapText="true" indent="0" shrinkToFit="false"/>
      <protection locked="true" hidden="false"/>
    </xf>
    <xf numFmtId="173" fontId="7" fillId="5"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AF3F8"/>
      <rgbColor rgb="FFE2F0D9"/>
      <rgbColor rgb="FFF2F2F2"/>
      <rgbColor rgb="FF99CCFF"/>
      <rgbColor rgb="FFFF99CC"/>
      <rgbColor rgb="FFCC99FF"/>
      <rgbColor rgb="FFFFCC99"/>
      <rgbColor rgb="FF3366FF"/>
      <rgbColor rgb="FF33CCCC"/>
      <rgbColor rgb="FF99CC00"/>
      <rgbColor rgb="FFFFCC00"/>
      <rgbColor rgb="FFFF9900"/>
      <rgbColor rgb="FFFF6600"/>
      <rgbColor rgb="FF595959"/>
      <rgbColor rgb="FF969696"/>
      <rgbColor rgb="FF17365D"/>
      <rgbColor rgb="FF339966"/>
      <rgbColor rgb="FF003300"/>
      <rgbColor rgb="FF333300"/>
      <rgbColor rgb="FF993300"/>
      <rgbColor rgb="FF993366"/>
      <rgbColor rgb="FF1F4E78"/>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24"/>
    <col collapsed="false" customWidth="true" hidden="false" outlineLevel="0" max="4" min="4" style="0" width="52"/>
    <col collapsed="false" customWidth="true" hidden="false" outlineLevel="0" max="5" min="5" style="0" width="14"/>
    <col collapsed="false" customWidth="true" hidden="false" outlineLevel="0" max="6" min="6" style="0" width="36"/>
  </cols>
  <sheetData>
    <row r="1" customFormat="false" ht="27.75" hidden="false" customHeight="true" outlineLevel="0" collapsed="false">
      <c r="A1" s="1" t="s">
        <v>0</v>
      </c>
      <c r="B1" s="1"/>
      <c r="C1" s="1"/>
      <c r="D1" s="1"/>
      <c r="E1" s="1"/>
      <c r="F1" s="1"/>
    </row>
    <row r="2" customFormat="false" ht="30" hidden="false" customHeight="true" outlineLevel="0" collapsed="false">
      <c r="A2" s="2" t="s">
        <v>1</v>
      </c>
      <c r="B2" s="2"/>
      <c r="C2" s="2"/>
      <c r="D2" s="2"/>
      <c r="E2" s="2"/>
      <c r="F2" s="2"/>
    </row>
    <row r="4" customFormat="false" ht="18" hidden="false" customHeight="true" outlineLevel="0" collapsed="false">
      <c r="A4" s="3" t="s">
        <v>2</v>
      </c>
      <c r="B4" s="3" t="s">
        <v>3</v>
      </c>
      <c r="C4" s="3" t="s">
        <v>4</v>
      </c>
      <c r="D4" s="3" t="s">
        <v>5</v>
      </c>
      <c r="E4" s="3" t="s">
        <v>6</v>
      </c>
      <c r="F4" s="3" t="s">
        <v>7</v>
      </c>
    </row>
    <row r="5" customFormat="false" ht="31.5" hidden="false" customHeight="true" outlineLevel="0" collapsed="false">
      <c r="A5" s="4" t="s">
        <v>8</v>
      </c>
      <c r="B5" s="5" t="s">
        <v>9</v>
      </c>
      <c r="C5" s="5" t="s">
        <v>10</v>
      </c>
      <c r="D5" s="5" t="s">
        <v>11</v>
      </c>
      <c r="E5" s="6" t="s">
        <v>12</v>
      </c>
      <c r="F5" s="5" t="s">
        <v>13</v>
      </c>
    </row>
    <row r="6" customFormat="false" ht="31.5" hidden="false" customHeight="true" outlineLevel="0" collapsed="false">
      <c r="A6" s="7" t="s">
        <v>14</v>
      </c>
      <c r="B6" s="5" t="s">
        <v>15</v>
      </c>
      <c r="C6" s="5" t="s">
        <v>16</v>
      </c>
      <c r="D6" s="5" t="s">
        <v>17</v>
      </c>
      <c r="E6" s="6" t="s">
        <v>12</v>
      </c>
      <c r="F6" s="5" t="s">
        <v>18</v>
      </c>
    </row>
    <row r="7" customFormat="false" ht="18" hidden="false" customHeight="true" outlineLevel="0" collapsed="false">
      <c r="A7" s="8" t="s">
        <v>19</v>
      </c>
      <c r="B7" s="5" t="s">
        <v>20</v>
      </c>
      <c r="C7" s="5" t="s">
        <v>21</v>
      </c>
      <c r="D7" s="5" t="s">
        <v>22</v>
      </c>
      <c r="E7" s="6" t="s">
        <v>12</v>
      </c>
      <c r="F7" s="5" t="s">
        <v>23</v>
      </c>
    </row>
    <row r="8" customFormat="false" ht="31.5" hidden="false" customHeight="true" outlineLevel="0" collapsed="false">
      <c r="A8" s="9" t="s">
        <v>24</v>
      </c>
      <c r="B8" s="5" t="s">
        <v>25</v>
      </c>
      <c r="C8" s="5" t="s">
        <v>26</v>
      </c>
      <c r="D8" s="5" t="s">
        <v>27</v>
      </c>
      <c r="E8" s="6" t="s">
        <v>28</v>
      </c>
      <c r="F8" s="5" t="s">
        <v>29</v>
      </c>
    </row>
    <row r="9" customFormat="false" ht="18" hidden="false" customHeight="true" outlineLevel="0" collapsed="false">
      <c r="A9" s="5"/>
      <c r="B9" s="5"/>
      <c r="C9" s="5" t="s">
        <v>30</v>
      </c>
      <c r="D9" s="5" t="s">
        <v>31</v>
      </c>
      <c r="E9" s="6" t="s">
        <v>12</v>
      </c>
      <c r="F9" s="5" t="s">
        <v>32</v>
      </c>
    </row>
    <row r="10" customFormat="false" ht="18" hidden="false" customHeight="true" outlineLevel="0" collapsed="false">
      <c r="A10" s="5"/>
      <c r="B10" s="5"/>
      <c r="C10" s="5" t="s">
        <v>33</v>
      </c>
      <c r="D10" s="5" t="s">
        <v>34</v>
      </c>
      <c r="E10" s="6" t="s">
        <v>35</v>
      </c>
      <c r="F10" s="5" t="s">
        <v>36</v>
      </c>
    </row>
    <row r="11" customFormat="false" ht="18" hidden="false" customHeight="true" outlineLevel="0" collapsed="false">
      <c r="A11" s="5"/>
      <c r="B11" s="5"/>
      <c r="C11" s="5" t="s">
        <v>37</v>
      </c>
      <c r="D11" s="5" t="s">
        <v>38</v>
      </c>
      <c r="E11" s="6" t="s">
        <v>12</v>
      </c>
      <c r="F11" s="5" t="s">
        <v>39</v>
      </c>
    </row>
    <row r="12" customFormat="false" ht="18" hidden="false" customHeight="true" outlineLevel="0" collapsed="false">
      <c r="A12" s="5"/>
      <c r="B12" s="5"/>
      <c r="C12" s="5" t="s">
        <v>40</v>
      </c>
      <c r="D12" s="5" t="s">
        <v>41</v>
      </c>
      <c r="E12" s="6" t="s">
        <v>12</v>
      </c>
      <c r="F12" s="5" t="s">
        <v>42</v>
      </c>
    </row>
    <row r="13" customFormat="false" ht="18" hidden="false" customHeight="true" outlineLevel="0" collapsed="false">
      <c r="A13" s="5"/>
      <c r="B13" s="5"/>
      <c r="C13" s="5" t="s">
        <v>43</v>
      </c>
      <c r="D13" s="5" t="s">
        <v>44</v>
      </c>
      <c r="E13" s="6" t="s">
        <v>35</v>
      </c>
      <c r="F13" s="5" t="s">
        <v>45</v>
      </c>
    </row>
    <row r="14" customFormat="false" ht="18" hidden="false" customHeight="true" outlineLevel="0" collapsed="false">
      <c r="A14" s="5"/>
      <c r="B14" s="5"/>
      <c r="C14" s="5" t="s">
        <v>46</v>
      </c>
      <c r="D14" s="5" t="s">
        <v>47</v>
      </c>
      <c r="E14" s="6" t="s">
        <v>35</v>
      </c>
      <c r="F14" s="5" t="s">
        <v>48</v>
      </c>
    </row>
    <row r="15" customFormat="false" ht="18" hidden="false" customHeight="true" outlineLevel="0" collapsed="false">
      <c r="A15" s="5"/>
      <c r="B15" s="5"/>
      <c r="C15" s="5" t="s">
        <v>49</v>
      </c>
      <c r="D15" s="5" t="s">
        <v>50</v>
      </c>
      <c r="E15" s="6" t="s">
        <v>35</v>
      </c>
      <c r="F15" s="5" t="s">
        <v>51</v>
      </c>
    </row>
    <row r="16" customFormat="false" ht="18" hidden="false" customHeight="true" outlineLevel="0" collapsed="false">
      <c r="A16" s="5"/>
      <c r="B16" s="5"/>
      <c r="C16" s="5" t="s">
        <v>52</v>
      </c>
      <c r="D16" s="5" t="s">
        <v>53</v>
      </c>
      <c r="E16" s="6" t="s">
        <v>12</v>
      </c>
      <c r="F16" s="5" t="s">
        <v>54</v>
      </c>
    </row>
    <row r="17" customFormat="false" ht="18" hidden="false" customHeight="true" outlineLevel="0" collapsed="false">
      <c r="A17" s="5"/>
      <c r="B17" s="5"/>
      <c r="C17" s="5" t="s">
        <v>55</v>
      </c>
      <c r="D17" s="5" t="s">
        <v>56</v>
      </c>
      <c r="E17" s="6" t="s">
        <v>57</v>
      </c>
      <c r="F17" s="5" t="s">
        <v>58</v>
      </c>
    </row>
    <row r="19" customFormat="false" ht="18" hidden="false" customHeight="true" outlineLevel="0" collapsed="false">
      <c r="A19" s="10" t="s">
        <v>59</v>
      </c>
      <c r="B19" s="10"/>
      <c r="C19" s="10"/>
      <c r="D19" s="10"/>
      <c r="E19" s="10"/>
      <c r="F19" s="10"/>
    </row>
    <row r="20" customFormat="false" ht="31.5" hidden="false" customHeight="true" outlineLevel="0" collapsed="false">
      <c r="A20" s="5" t="s">
        <v>60</v>
      </c>
      <c r="B20" s="5"/>
      <c r="C20" s="5"/>
      <c r="D20" s="5"/>
      <c r="E20" s="5"/>
      <c r="F20" s="5"/>
    </row>
    <row r="21" customFormat="false" ht="31.5" hidden="false" customHeight="true" outlineLevel="0" collapsed="false">
      <c r="A21" s="5" t="s">
        <v>61</v>
      </c>
      <c r="B21" s="5"/>
      <c r="C21" s="5"/>
      <c r="D21" s="5"/>
      <c r="E21" s="5"/>
      <c r="F21" s="5"/>
    </row>
    <row r="22" customFormat="false" ht="31.5" hidden="false" customHeight="true" outlineLevel="0" collapsed="false">
      <c r="A22" s="5" t="s">
        <v>62</v>
      </c>
      <c r="B22" s="5"/>
      <c r="C22" s="5"/>
      <c r="D22" s="5"/>
      <c r="E22" s="5"/>
      <c r="F22" s="5"/>
    </row>
    <row r="23" customFormat="false" ht="18" hidden="false" customHeight="true" outlineLevel="0" collapsed="false">
      <c r="A23" s="5" t="s">
        <v>63</v>
      </c>
      <c r="B23" s="5"/>
      <c r="C23" s="5"/>
      <c r="D23" s="5"/>
      <c r="E23" s="5"/>
      <c r="F23" s="5"/>
    </row>
  </sheetData>
  <mergeCells count="7">
    <mergeCell ref="A1:F1"/>
    <mergeCell ref="A2:F2"/>
    <mergeCell ref="A19:F19"/>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0"/>
  </cols>
  <sheetData>
    <row r="1" customFormat="false" ht="27.75" hidden="false" customHeight="true" outlineLevel="0" collapsed="false">
      <c r="A1" s="1" t="s">
        <v>64</v>
      </c>
      <c r="B1" s="1"/>
    </row>
    <row r="2" customFormat="false" ht="30" hidden="false" customHeight="true" outlineLevel="0" collapsed="false">
      <c r="A2" s="2" t="s">
        <v>65</v>
      </c>
      <c r="B2" s="2"/>
    </row>
    <row r="4" customFormat="false" ht="18" hidden="false" customHeight="true" outlineLevel="0" collapsed="false">
      <c r="A4" s="3" t="s">
        <v>66</v>
      </c>
      <c r="B4" s="3" t="s">
        <v>67</v>
      </c>
    </row>
    <row r="5" customFormat="false" ht="18" hidden="false" customHeight="true" outlineLevel="0" collapsed="false">
      <c r="A5" s="11" t="s">
        <v>68</v>
      </c>
      <c r="B5" s="5" t="s">
        <v>69</v>
      </c>
    </row>
    <row r="6" customFormat="false" ht="18" hidden="false" customHeight="true" outlineLevel="0" collapsed="false">
      <c r="A6" s="11" t="s">
        <v>70</v>
      </c>
      <c r="B6" s="5" t="s">
        <v>71</v>
      </c>
    </row>
    <row r="7" customFormat="false" ht="18" hidden="false" customHeight="true" outlineLevel="0" collapsed="false">
      <c r="A7" s="11" t="s">
        <v>72</v>
      </c>
      <c r="B7" s="5" t="s">
        <v>73</v>
      </c>
    </row>
    <row r="8" customFormat="false" ht="18" hidden="false" customHeight="true" outlineLevel="0" collapsed="false">
      <c r="A8" s="11" t="s">
        <v>74</v>
      </c>
      <c r="B8" s="5" t="s">
        <v>75</v>
      </c>
    </row>
    <row r="9" customFormat="false" ht="31.5" hidden="false" customHeight="true" outlineLevel="0" collapsed="false">
      <c r="A9" s="11" t="s">
        <v>76</v>
      </c>
      <c r="B9" s="5" t="s">
        <v>77</v>
      </c>
    </row>
    <row r="10" customFormat="false" ht="18" hidden="false" customHeight="true" outlineLevel="0" collapsed="false">
      <c r="A10" s="11" t="s">
        <v>78</v>
      </c>
      <c r="B10" s="5" t="s">
        <v>79</v>
      </c>
    </row>
    <row r="11" customFormat="false" ht="18" hidden="false" customHeight="true" outlineLevel="0" collapsed="false">
      <c r="A11" s="11" t="s">
        <v>80</v>
      </c>
      <c r="B11" s="5" t="s">
        <v>81</v>
      </c>
    </row>
    <row r="12" customFormat="false" ht="18" hidden="false" customHeight="true" outlineLevel="0" collapsed="false">
      <c r="A12" s="11" t="s">
        <v>82</v>
      </c>
      <c r="B12" s="5" t="s">
        <v>83</v>
      </c>
    </row>
    <row r="13" customFormat="false" ht="18" hidden="false" customHeight="true" outlineLevel="0" collapsed="false">
      <c r="A13" s="11" t="s">
        <v>84</v>
      </c>
      <c r="B13" s="5" t="s">
        <v>85</v>
      </c>
    </row>
    <row r="14" customFormat="false" ht="18" hidden="false" customHeight="true" outlineLevel="0" collapsed="false">
      <c r="A14" s="11" t="s">
        <v>86</v>
      </c>
      <c r="B14" s="5" t="s">
        <v>87</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0"/>
  </cols>
  <sheetData>
    <row r="1" customFormat="false" ht="27.75" hidden="false" customHeight="true" outlineLevel="0" collapsed="false">
      <c r="A1" s="1" t="s">
        <v>88</v>
      </c>
      <c r="B1" s="1"/>
    </row>
    <row r="2" customFormat="false" ht="30" hidden="false" customHeight="true" outlineLevel="0" collapsed="false">
      <c r="A2" s="2" t="s">
        <v>89</v>
      </c>
      <c r="B2" s="2"/>
    </row>
    <row r="4" customFormat="false" ht="18" hidden="false" customHeight="true" outlineLevel="0" collapsed="false">
      <c r="A4" s="3" t="s">
        <v>90</v>
      </c>
      <c r="B4" s="3" t="s">
        <v>91</v>
      </c>
    </row>
    <row r="5" customFormat="false" ht="31.5" hidden="false" customHeight="true" outlineLevel="0" collapsed="false">
      <c r="A5" s="12" t="s">
        <v>92</v>
      </c>
      <c r="B5" s="5" t="s">
        <v>93</v>
      </c>
    </row>
    <row r="6" customFormat="false" ht="31.5" hidden="false" customHeight="true" outlineLevel="0" collapsed="false">
      <c r="A6" s="12" t="s">
        <v>94</v>
      </c>
      <c r="B6" s="5" t="s">
        <v>95</v>
      </c>
    </row>
    <row r="7" customFormat="false" ht="31.5" hidden="false" customHeight="true" outlineLevel="0" collapsed="false">
      <c r="A7" s="12" t="s">
        <v>96</v>
      </c>
      <c r="B7" s="5" t="s">
        <v>97</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55"/>
    <col collapsed="false" customWidth="true" hidden="false" outlineLevel="0" max="4" min="4" style="0" width="36"/>
    <col collapsed="false" customWidth="true" hidden="false" outlineLevel="0" max="5" min="5" style="0" width="11"/>
    <col collapsed="false" customWidth="true" hidden="false" outlineLevel="0" max="6" min="6" style="0" width="58"/>
  </cols>
  <sheetData>
    <row r="1" customFormat="false" ht="27.75" hidden="false" customHeight="true" outlineLevel="0" collapsed="false">
      <c r="A1" s="1" t="s">
        <v>98</v>
      </c>
      <c r="B1" s="1"/>
      <c r="C1" s="1"/>
      <c r="D1" s="1"/>
      <c r="E1" s="1"/>
      <c r="F1" s="1"/>
    </row>
    <row r="2" customFormat="false" ht="30" hidden="false" customHeight="true" outlineLevel="0" collapsed="false">
      <c r="A2" s="2" t="s">
        <v>99</v>
      </c>
      <c r="B2" s="2"/>
      <c r="C2" s="2"/>
      <c r="D2" s="2"/>
      <c r="E2" s="2"/>
      <c r="F2" s="2"/>
    </row>
    <row r="4" customFormat="false" ht="18" hidden="false" customHeight="true" outlineLevel="0" collapsed="false">
      <c r="A4" s="3" t="s">
        <v>66</v>
      </c>
      <c r="B4" s="3" t="s">
        <v>100</v>
      </c>
      <c r="C4" s="3" t="s">
        <v>101</v>
      </c>
      <c r="D4" s="3" t="s">
        <v>102</v>
      </c>
      <c r="E4" s="3" t="s">
        <v>90</v>
      </c>
      <c r="F4" s="3" t="s">
        <v>103</v>
      </c>
    </row>
    <row r="5" customFormat="false" ht="45" hidden="false" customHeight="true" outlineLevel="0" collapsed="false">
      <c r="A5" s="11" t="s">
        <v>104</v>
      </c>
      <c r="B5" s="5" t="s">
        <v>105</v>
      </c>
      <c r="C5" s="5" t="s">
        <v>106</v>
      </c>
      <c r="D5" s="5" t="s">
        <v>107</v>
      </c>
      <c r="E5" s="4" t="s">
        <v>92</v>
      </c>
      <c r="F5" s="5" t="s">
        <v>108</v>
      </c>
    </row>
    <row r="6" customFormat="false" ht="45" hidden="false" customHeight="true" outlineLevel="0" collapsed="false">
      <c r="A6" s="11" t="s">
        <v>109</v>
      </c>
      <c r="B6" s="5" t="s">
        <v>105</v>
      </c>
      <c r="C6" s="5" t="s">
        <v>110</v>
      </c>
      <c r="D6" s="5" t="s">
        <v>111</v>
      </c>
      <c r="E6" s="4" t="s">
        <v>92</v>
      </c>
      <c r="F6" s="5" t="s">
        <v>112</v>
      </c>
    </row>
    <row r="7" customFormat="false" ht="45" hidden="false" customHeight="true" outlineLevel="0" collapsed="false">
      <c r="A7" s="11" t="s">
        <v>113</v>
      </c>
      <c r="B7" s="5" t="s">
        <v>105</v>
      </c>
      <c r="C7" s="5" t="s">
        <v>114</v>
      </c>
      <c r="D7" s="5" t="s">
        <v>115</v>
      </c>
      <c r="E7" s="4" t="s">
        <v>92</v>
      </c>
      <c r="F7" s="5" t="s">
        <v>116</v>
      </c>
    </row>
    <row r="8" customFormat="false" ht="45" hidden="false" customHeight="true" outlineLevel="0" collapsed="false">
      <c r="A8" s="11" t="s">
        <v>117</v>
      </c>
      <c r="B8" s="5" t="s">
        <v>105</v>
      </c>
      <c r="C8" s="5" t="s">
        <v>118</v>
      </c>
      <c r="D8" s="5" t="s">
        <v>119</v>
      </c>
      <c r="E8" s="4" t="s">
        <v>92</v>
      </c>
      <c r="F8" s="5" t="s">
        <v>120</v>
      </c>
    </row>
    <row r="9" customFormat="false" ht="58.5" hidden="false" customHeight="true" outlineLevel="0" collapsed="false">
      <c r="A9" s="11" t="s">
        <v>121</v>
      </c>
      <c r="B9" s="5" t="s">
        <v>105</v>
      </c>
      <c r="C9" s="5" t="s">
        <v>122</v>
      </c>
      <c r="D9" s="5" t="s">
        <v>123</v>
      </c>
      <c r="E9" s="4" t="s">
        <v>92</v>
      </c>
      <c r="F9" s="5" t="s">
        <v>124</v>
      </c>
    </row>
    <row r="10" customFormat="false" ht="58.5" hidden="false" customHeight="true" outlineLevel="0" collapsed="false">
      <c r="A10" s="11" t="s">
        <v>125</v>
      </c>
      <c r="B10" s="5" t="s">
        <v>105</v>
      </c>
      <c r="C10" s="5" t="s">
        <v>126</v>
      </c>
      <c r="D10" s="5" t="s">
        <v>127</v>
      </c>
      <c r="E10" s="4" t="s">
        <v>92</v>
      </c>
      <c r="F10" s="5" t="s">
        <v>128</v>
      </c>
    </row>
    <row r="11" customFormat="false" ht="45" hidden="false" customHeight="true" outlineLevel="0" collapsed="false">
      <c r="A11" s="11" t="s">
        <v>129</v>
      </c>
      <c r="B11" s="5" t="s">
        <v>105</v>
      </c>
      <c r="C11" s="5" t="s">
        <v>130</v>
      </c>
      <c r="D11" s="5" t="s">
        <v>131</v>
      </c>
      <c r="E11" s="4" t="s">
        <v>92</v>
      </c>
      <c r="F11" s="5" t="s">
        <v>132</v>
      </c>
    </row>
    <row r="12" customFormat="false" ht="45" hidden="false" customHeight="true" outlineLevel="0" collapsed="false">
      <c r="A12" s="11" t="s">
        <v>133</v>
      </c>
      <c r="B12" s="5" t="s">
        <v>105</v>
      </c>
      <c r="C12" s="5" t="s">
        <v>134</v>
      </c>
      <c r="D12" s="5" t="s">
        <v>135</v>
      </c>
      <c r="E12" s="4" t="s">
        <v>92</v>
      </c>
      <c r="F12" s="5" t="s">
        <v>136</v>
      </c>
    </row>
    <row r="13" customFormat="false" ht="58.5" hidden="false" customHeight="true" outlineLevel="0" collapsed="false">
      <c r="A13" s="11" t="s">
        <v>137</v>
      </c>
      <c r="B13" s="5" t="s">
        <v>138</v>
      </c>
      <c r="C13" s="5" t="s">
        <v>139</v>
      </c>
      <c r="D13" s="5" t="s">
        <v>140</v>
      </c>
      <c r="E13" s="4" t="s">
        <v>92</v>
      </c>
      <c r="F13" s="5" t="s">
        <v>141</v>
      </c>
    </row>
    <row r="14" customFormat="false" ht="58.5" hidden="false" customHeight="true" outlineLevel="0" collapsed="false">
      <c r="A14" s="11" t="s">
        <v>142</v>
      </c>
      <c r="B14" s="5" t="s">
        <v>138</v>
      </c>
      <c r="C14" s="5" t="s">
        <v>143</v>
      </c>
      <c r="D14" s="5" t="s">
        <v>144</v>
      </c>
      <c r="E14" s="4" t="s">
        <v>92</v>
      </c>
      <c r="F14" s="5" t="s">
        <v>145</v>
      </c>
    </row>
    <row r="15" customFormat="false" ht="58.5" hidden="false" customHeight="true" outlineLevel="0" collapsed="false">
      <c r="A15" s="11" t="s">
        <v>146</v>
      </c>
      <c r="B15" s="5" t="s">
        <v>138</v>
      </c>
      <c r="C15" s="5" t="s">
        <v>147</v>
      </c>
      <c r="D15" s="5" t="s">
        <v>148</v>
      </c>
      <c r="E15" s="4" t="s">
        <v>92</v>
      </c>
      <c r="F15" s="5" t="s">
        <v>149</v>
      </c>
    </row>
    <row r="16" customFormat="false" ht="45" hidden="false" customHeight="true" outlineLevel="0" collapsed="false">
      <c r="A16" s="11" t="s">
        <v>150</v>
      </c>
      <c r="B16" s="5" t="s">
        <v>138</v>
      </c>
      <c r="C16" s="5" t="s">
        <v>151</v>
      </c>
      <c r="D16" s="5" t="s">
        <v>152</v>
      </c>
      <c r="E16" s="4" t="s">
        <v>92</v>
      </c>
      <c r="F16" s="5" t="s">
        <v>153</v>
      </c>
    </row>
    <row r="17" customFormat="false" ht="58.5" hidden="false" customHeight="true" outlineLevel="0" collapsed="false">
      <c r="A17" s="11" t="s">
        <v>154</v>
      </c>
      <c r="B17" s="5" t="s">
        <v>155</v>
      </c>
      <c r="C17" s="5" t="s">
        <v>156</v>
      </c>
      <c r="D17" s="5" t="s">
        <v>157</v>
      </c>
      <c r="E17" s="4" t="s">
        <v>92</v>
      </c>
      <c r="F17" s="5" t="s">
        <v>158</v>
      </c>
    </row>
    <row r="18" customFormat="false" ht="58.5" hidden="false" customHeight="true" outlineLevel="0" collapsed="false">
      <c r="A18" s="11" t="s">
        <v>159</v>
      </c>
      <c r="B18" s="5" t="s">
        <v>155</v>
      </c>
      <c r="C18" s="5" t="s">
        <v>160</v>
      </c>
      <c r="D18" s="5" t="s">
        <v>161</v>
      </c>
      <c r="E18" s="4" t="s">
        <v>92</v>
      </c>
      <c r="F18" s="5" t="s">
        <v>162</v>
      </c>
    </row>
    <row r="19" customFormat="false" ht="45" hidden="false" customHeight="true" outlineLevel="0" collapsed="false">
      <c r="A19" s="11" t="s">
        <v>163</v>
      </c>
      <c r="B19" s="5" t="s">
        <v>155</v>
      </c>
      <c r="C19" s="5" t="s">
        <v>164</v>
      </c>
      <c r="D19" s="5" t="s">
        <v>165</v>
      </c>
      <c r="E19" s="4" t="s">
        <v>92</v>
      </c>
      <c r="F19" s="5" t="s">
        <v>166</v>
      </c>
    </row>
    <row r="20" customFormat="false" ht="85.5" hidden="false" customHeight="true" outlineLevel="0" collapsed="false">
      <c r="A20" s="11" t="s">
        <v>167</v>
      </c>
      <c r="B20" s="5" t="s">
        <v>155</v>
      </c>
      <c r="C20" s="5" t="s">
        <v>168</v>
      </c>
      <c r="D20" s="5" t="s">
        <v>169</v>
      </c>
      <c r="E20" s="4" t="s">
        <v>92</v>
      </c>
      <c r="F20" s="5" t="s">
        <v>170</v>
      </c>
    </row>
    <row r="21" customFormat="false" ht="58.5" hidden="false" customHeight="true" outlineLevel="0" collapsed="false">
      <c r="A21" s="11" t="s">
        <v>171</v>
      </c>
      <c r="B21" s="5" t="s">
        <v>155</v>
      </c>
      <c r="C21" s="5" t="s">
        <v>172</v>
      </c>
      <c r="D21" s="5" t="s">
        <v>173</v>
      </c>
      <c r="E21" s="4" t="s">
        <v>92</v>
      </c>
      <c r="F21" s="5" t="s">
        <v>174</v>
      </c>
    </row>
    <row r="22" customFormat="false" ht="45" hidden="false" customHeight="true" outlineLevel="0" collapsed="false">
      <c r="A22" s="11" t="s">
        <v>175</v>
      </c>
      <c r="B22" s="5" t="s">
        <v>176</v>
      </c>
      <c r="C22" s="5" t="s">
        <v>177</v>
      </c>
      <c r="D22" s="5" t="s">
        <v>178</v>
      </c>
      <c r="E22" s="4" t="s">
        <v>92</v>
      </c>
      <c r="F22" s="5" t="s">
        <v>179</v>
      </c>
    </row>
    <row r="23" customFormat="false" ht="45" hidden="false" customHeight="true" outlineLevel="0" collapsed="false">
      <c r="A23" s="11" t="s">
        <v>180</v>
      </c>
      <c r="B23" s="5" t="s">
        <v>176</v>
      </c>
      <c r="C23" s="5" t="s">
        <v>181</v>
      </c>
      <c r="D23" s="5" t="s">
        <v>182</v>
      </c>
      <c r="E23" s="4" t="s">
        <v>92</v>
      </c>
      <c r="F23" s="5" t="s">
        <v>183</v>
      </c>
    </row>
    <row r="24" customFormat="false" ht="58.5" hidden="false" customHeight="true" outlineLevel="0" collapsed="false">
      <c r="A24" s="11" t="s">
        <v>184</v>
      </c>
      <c r="B24" s="5" t="s">
        <v>176</v>
      </c>
      <c r="C24" s="5" t="s">
        <v>185</v>
      </c>
      <c r="D24" s="5" t="s">
        <v>182</v>
      </c>
      <c r="E24" s="4" t="s">
        <v>92</v>
      </c>
      <c r="F24" s="5" t="s">
        <v>186</v>
      </c>
    </row>
    <row r="25" customFormat="false" ht="58.5" hidden="false" customHeight="true" outlineLevel="0" collapsed="false">
      <c r="A25" s="11" t="s">
        <v>187</v>
      </c>
      <c r="B25" s="5" t="s">
        <v>176</v>
      </c>
      <c r="C25" s="5" t="s">
        <v>188</v>
      </c>
      <c r="D25" s="5" t="s">
        <v>189</v>
      </c>
      <c r="E25" s="4" t="s">
        <v>92</v>
      </c>
      <c r="F25" s="5" t="s">
        <v>190</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6"/>
    <col collapsed="false" customWidth="true" hidden="false" outlineLevel="0" max="3" min="3" style="0" width="34"/>
    <col collapsed="false" customWidth="true" hidden="false" outlineLevel="0" max="4" min="4" style="0" width="20"/>
    <col collapsed="false" customWidth="true" hidden="false" outlineLevel="0" max="5" min="5" style="0" width="13"/>
    <col collapsed="false" customWidth="true" hidden="false" outlineLevel="0" max="6" min="6" style="0" width="60"/>
    <col collapsed="false" customWidth="true" hidden="false" outlineLevel="0" max="7" min="7" style="0" width="14"/>
  </cols>
  <sheetData>
    <row r="1" customFormat="false" ht="27.75" hidden="false" customHeight="true" outlineLevel="0" collapsed="false">
      <c r="A1" s="1" t="s">
        <v>191</v>
      </c>
      <c r="B1" s="1"/>
      <c r="C1" s="1"/>
      <c r="D1" s="1"/>
      <c r="E1" s="1"/>
      <c r="F1" s="1"/>
      <c r="G1" s="1"/>
    </row>
    <row r="2" customFormat="false" ht="30" hidden="false" customHeight="true" outlineLevel="0" collapsed="false">
      <c r="A2" s="2" t="s">
        <v>192</v>
      </c>
      <c r="B2" s="2"/>
      <c r="C2" s="2"/>
      <c r="D2" s="2"/>
      <c r="E2" s="2"/>
      <c r="F2" s="2"/>
      <c r="G2" s="2"/>
    </row>
    <row r="4" customFormat="false" ht="45" hidden="false" customHeight="true" outlineLevel="0" collapsed="false">
      <c r="A4" s="3" t="s">
        <v>193</v>
      </c>
      <c r="B4" s="3" t="s">
        <v>194</v>
      </c>
      <c r="C4" s="3" t="s">
        <v>195</v>
      </c>
      <c r="D4" s="3" t="s">
        <v>196</v>
      </c>
      <c r="E4" s="3" t="s">
        <v>197</v>
      </c>
      <c r="F4" s="3" t="s">
        <v>198</v>
      </c>
      <c r="G4" s="3" t="s">
        <v>199</v>
      </c>
    </row>
    <row r="5" customFormat="false" ht="18" hidden="false" customHeight="true" outlineLevel="0" collapsed="false">
      <c r="A5" s="11" t="s">
        <v>200</v>
      </c>
      <c r="B5" s="5" t="s">
        <v>137</v>
      </c>
      <c r="C5" s="5" t="s">
        <v>201</v>
      </c>
      <c r="D5" s="5" t="s">
        <v>202</v>
      </c>
      <c r="E5" s="5" t="s">
        <v>203</v>
      </c>
      <c r="F5" s="5" t="s">
        <v>204</v>
      </c>
      <c r="G5" s="5" t="s">
        <v>205</v>
      </c>
    </row>
    <row r="6" customFormat="false" ht="31.5" hidden="false" customHeight="true" outlineLevel="0" collapsed="false">
      <c r="A6" s="11" t="s">
        <v>206</v>
      </c>
      <c r="B6" s="5" t="s">
        <v>207</v>
      </c>
      <c r="C6" s="5" t="s">
        <v>208</v>
      </c>
      <c r="D6" s="5" t="s">
        <v>209</v>
      </c>
      <c r="E6" s="5" t="s">
        <v>210</v>
      </c>
      <c r="F6" s="5" t="s">
        <v>211</v>
      </c>
      <c r="G6" s="5" t="s">
        <v>212</v>
      </c>
    </row>
    <row r="7" customFormat="false" ht="31.5" hidden="false" customHeight="true" outlineLevel="0" collapsed="false">
      <c r="A7" s="11" t="s">
        <v>213</v>
      </c>
      <c r="B7" s="5" t="s">
        <v>207</v>
      </c>
      <c r="C7" s="5" t="s">
        <v>214</v>
      </c>
      <c r="D7" s="5" t="s">
        <v>215</v>
      </c>
      <c r="E7" s="5" t="s">
        <v>216</v>
      </c>
      <c r="F7" s="5" t="s">
        <v>217</v>
      </c>
      <c r="G7" s="5" t="s">
        <v>212</v>
      </c>
    </row>
    <row r="8" customFormat="false" ht="45" hidden="false" customHeight="true" outlineLevel="0" collapsed="false">
      <c r="A8" s="11" t="s">
        <v>218</v>
      </c>
      <c r="B8" s="5" t="s">
        <v>104</v>
      </c>
      <c r="C8" s="5" t="s">
        <v>219</v>
      </c>
      <c r="D8" s="4" t="s">
        <v>220</v>
      </c>
      <c r="E8" s="5" t="s">
        <v>216</v>
      </c>
      <c r="F8" s="5" t="s">
        <v>221</v>
      </c>
      <c r="G8" s="5" t="s">
        <v>212</v>
      </c>
    </row>
    <row r="9" customFormat="false" ht="45" hidden="false" customHeight="true" outlineLevel="0" collapsed="false">
      <c r="A9" s="11" t="s">
        <v>222</v>
      </c>
      <c r="B9" s="5" t="s">
        <v>104</v>
      </c>
      <c r="C9" s="5" t="s">
        <v>223</v>
      </c>
      <c r="D9" s="4" t="s">
        <v>220</v>
      </c>
      <c r="E9" s="5" t="s">
        <v>224</v>
      </c>
      <c r="F9" s="5" t="s">
        <v>225</v>
      </c>
      <c r="G9" s="5" t="s">
        <v>212</v>
      </c>
    </row>
    <row r="10" customFormat="false" ht="45" hidden="false" customHeight="true" outlineLevel="0" collapsed="false">
      <c r="A10" s="11" t="s">
        <v>226</v>
      </c>
      <c r="B10" s="5" t="s">
        <v>227</v>
      </c>
      <c r="C10" s="5" t="s">
        <v>228</v>
      </c>
      <c r="D10" s="4" t="s">
        <v>220</v>
      </c>
      <c r="E10" s="5" t="s">
        <v>229</v>
      </c>
      <c r="F10" s="5" t="s">
        <v>230</v>
      </c>
      <c r="G10" s="5" t="s">
        <v>212</v>
      </c>
    </row>
    <row r="11" customFormat="false" ht="31.5" hidden="false" customHeight="true" outlineLevel="0" collapsed="false">
      <c r="A11" s="11" t="s">
        <v>231</v>
      </c>
      <c r="B11" s="5" t="s">
        <v>109</v>
      </c>
      <c r="C11" s="5" t="s">
        <v>232</v>
      </c>
      <c r="D11" s="4" t="s">
        <v>220</v>
      </c>
      <c r="E11" s="5" t="s">
        <v>233</v>
      </c>
      <c r="F11" s="5" t="s">
        <v>234</v>
      </c>
      <c r="G11" s="5" t="s">
        <v>205</v>
      </c>
    </row>
    <row r="12" customFormat="false" ht="45" hidden="false" customHeight="true" outlineLevel="0" collapsed="false">
      <c r="A12" s="11" t="s">
        <v>235</v>
      </c>
      <c r="B12" s="5" t="s">
        <v>113</v>
      </c>
      <c r="C12" s="5" t="s">
        <v>236</v>
      </c>
      <c r="D12" s="4" t="s">
        <v>220</v>
      </c>
      <c r="E12" s="5" t="s">
        <v>237</v>
      </c>
      <c r="F12" s="5" t="s">
        <v>238</v>
      </c>
      <c r="G12" s="5" t="s">
        <v>212</v>
      </c>
    </row>
    <row r="13" customFormat="false" ht="45" hidden="false" customHeight="true" outlineLevel="0" collapsed="false">
      <c r="A13" s="11" t="s">
        <v>239</v>
      </c>
      <c r="B13" s="5" t="s">
        <v>146</v>
      </c>
      <c r="C13" s="5" t="s">
        <v>240</v>
      </c>
      <c r="D13" s="5" t="s">
        <v>241</v>
      </c>
      <c r="E13" s="5" t="s">
        <v>242</v>
      </c>
      <c r="F13" s="5" t="s">
        <v>243</v>
      </c>
      <c r="G13" s="5" t="s">
        <v>212</v>
      </c>
    </row>
    <row r="14" customFormat="false" ht="45" hidden="false" customHeight="true" outlineLevel="0" collapsed="false">
      <c r="A14" s="11" t="s">
        <v>244</v>
      </c>
      <c r="B14" s="5" t="s">
        <v>245</v>
      </c>
      <c r="C14" s="5" t="s">
        <v>246</v>
      </c>
      <c r="D14" s="4" t="s">
        <v>220</v>
      </c>
      <c r="E14" s="5" t="s">
        <v>216</v>
      </c>
      <c r="F14" s="5" t="s">
        <v>247</v>
      </c>
      <c r="G14" s="5" t="s">
        <v>205</v>
      </c>
    </row>
    <row r="15" customFormat="false" ht="31.5" hidden="false" customHeight="true" outlineLevel="0" collapsed="false">
      <c r="A15" s="11" t="s">
        <v>248</v>
      </c>
      <c r="B15" s="5" t="s">
        <v>146</v>
      </c>
      <c r="C15" s="5" t="s">
        <v>249</v>
      </c>
      <c r="D15" s="5" t="s">
        <v>250</v>
      </c>
      <c r="E15" s="5" t="s">
        <v>216</v>
      </c>
      <c r="F15" s="5" t="s">
        <v>251</v>
      </c>
      <c r="G15" s="5" t="s">
        <v>212</v>
      </c>
    </row>
    <row r="16" customFormat="false" ht="31.5" hidden="false" customHeight="true" outlineLevel="0" collapsed="false">
      <c r="A16" s="11" t="s">
        <v>252</v>
      </c>
      <c r="B16" s="5" t="s">
        <v>121</v>
      </c>
      <c r="C16" s="5" t="s">
        <v>253</v>
      </c>
      <c r="D16" s="4" t="s">
        <v>220</v>
      </c>
      <c r="E16" s="5" t="s">
        <v>254</v>
      </c>
      <c r="F16" s="5" t="s">
        <v>255</v>
      </c>
      <c r="G16" s="5" t="s">
        <v>256</v>
      </c>
    </row>
    <row r="17" customFormat="false" ht="45" hidden="false" customHeight="true" outlineLevel="0" collapsed="false">
      <c r="A17" s="11" t="s">
        <v>257</v>
      </c>
      <c r="B17" s="5" t="s">
        <v>125</v>
      </c>
      <c r="C17" s="5" t="s">
        <v>258</v>
      </c>
      <c r="D17" s="4" t="s">
        <v>220</v>
      </c>
      <c r="E17" s="5" t="s">
        <v>254</v>
      </c>
      <c r="F17" s="5" t="s">
        <v>259</v>
      </c>
      <c r="G17" s="5" t="s">
        <v>256</v>
      </c>
    </row>
    <row r="18" customFormat="false" ht="31.5" hidden="false" customHeight="true" outlineLevel="0" collapsed="false">
      <c r="A18" s="11" t="s">
        <v>260</v>
      </c>
      <c r="B18" s="5" t="s">
        <v>129</v>
      </c>
      <c r="C18" s="5" t="s">
        <v>261</v>
      </c>
      <c r="D18" s="5" t="s">
        <v>262</v>
      </c>
      <c r="E18" s="5" t="s">
        <v>216</v>
      </c>
      <c r="F18" s="5" t="s">
        <v>263</v>
      </c>
      <c r="G18" s="5" t="s">
        <v>264</v>
      </c>
    </row>
    <row r="19" customFormat="false" ht="31.5" hidden="false" customHeight="true" outlineLevel="0" collapsed="false">
      <c r="A19" s="11" t="s">
        <v>265</v>
      </c>
      <c r="B19" s="5" t="s">
        <v>133</v>
      </c>
      <c r="C19" s="5" t="s">
        <v>266</v>
      </c>
      <c r="D19" s="5" t="s">
        <v>267</v>
      </c>
      <c r="E19" s="5" t="s">
        <v>216</v>
      </c>
      <c r="F19" s="5" t="s">
        <v>263</v>
      </c>
      <c r="G19" s="5" t="s">
        <v>264</v>
      </c>
    </row>
    <row r="20" customFormat="false" ht="18" hidden="false" customHeight="true" outlineLevel="0" collapsed="false">
      <c r="A20" s="11" t="s">
        <v>268</v>
      </c>
      <c r="B20" s="5" t="s">
        <v>142</v>
      </c>
      <c r="C20" s="5" t="s">
        <v>269</v>
      </c>
      <c r="D20" s="5" t="s">
        <v>270</v>
      </c>
      <c r="E20" s="5" t="s">
        <v>271</v>
      </c>
      <c r="F20" s="5" t="s">
        <v>272</v>
      </c>
      <c r="G20" s="5" t="s">
        <v>212</v>
      </c>
    </row>
    <row r="21" customFormat="false" ht="45" hidden="false" customHeight="true" outlineLevel="0" collapsed="false">
      <c r="A21" s="11" t="s">
        <v>273</v>
      </c>
      <c r="B21" s="5" t="s">
        <v>274</v>
      </c>
      <c r="C21" s="5" t="s">
        <v>275</v>
      </c>
      <c r="D21" s="4" t="s">
        <v>220</v>
      </c>
      <c r="E21" s="5" t="s">
        <v>271</v>
      </c>
      <c r="F21" s="5" t="s">
        <v>276</v>
      </c>
      <c r="G21" s="5" t="s">
        <v>212</v>
      </c>
    </row>
    <row r="22" customFormat="false" ht="45" hidden="false" customHeight="true" outlineLevel="0" collapsed="false">
      <c r="A22" s="11" t="s">
        <v>277</v>
      </c>
      <c r="B22" s="5" t="s">
        <v>278</v>
      </c>
      <c r="C22" s="5" t="s">
        <v>279</v>
      </c>
      <c r="D22" s="4" t="s">
        <v>220</v>
      </c>
      <c r="E22" s="5" t="s">
        <v>280</v>
      </c>
      <c r="F22" s="5" t="s">
        <v>281</v>
      </c>
      <c r="G22" s="5" t="s">
        <v>212</v>
      </c>
    </row>
    <row r="23" customFormat="false" ht="31.5" hidden="false" customHeight="true" outlineLevel="0" collapsed="false">
      <c r="A23" s="11" t="s">
        <v>282</v>
      </c>
      <c r="B23" s="5" t="s">
        <v>150</v>
      </c>
      <c r="C23" s="5" t="s">
        <v>283</v>
      </c>
      <c r="D23" s="4" t="s">
        <v>220</v>
      </c>
      <c r="E23" s="5" t="s">
        <v>284</v>
      </c>
      <c r="F23" s="5" t="s">
        <v>285</v>
      </c>
      <c r="G23" s="5" t="s">
        <v>205</v>
      </c>
    </row>
    <row r="24" customFormat="false" ht="45" hidden="false" customHeight="true" outlineLevel="0" collapsed="false">
      <c r="A24" s="11" t="s">
        <v>286</v>
      </c>
      <c r="B24" s="5" t="s">
        <v>150</v>
      </c>
      <c r="C24" s="5" t="s">
        <v>287</v>
      </c>
      <c r="D24" s="4" t="s">
        <v>220</v>
      </c>
      <c r="E24" s="5" t="s">
        <v>216</v>
      </c>
      <c r="F24" s="5" t="s">
        <v>288</v>
      </c>
      <c r="G24" s="5" t="s">
        <v>205</v>
      </c>
    </row>
    <row r="25" customFormat="false" ht="31.5" hidden="false" customHeight="true" outlineLevel="0" collapsed="false">
      <c r="A25" s="11" t="s">
        <v>289</v>
      </c>
      <c r="B25" s="5" t="s">
        <v>154</v>
      </c>
      <c r="C25" s="5" t="s">
        <v>290</v>
      </c>
      <c r="D25" s="5" t="s">
        <v>291</v>
      </c>
      <c r="E25" s="5" t="s">
        <v>216</v>
      </c>
      <c r="F25" s="5" t="s">
        <v>292</v>
      </c>
      <c r="G25" s="5" t="s">
        <v>205</v>
      </c>
    </row>
    <row r="26" customFormat="false" ht="31.5" hidden="false" customHeight="true" outlineLevel="0" collapsed="false">
      <c r="A26" s="11" t="s">
        <v>293</v>
      </c>
      <c r="B26" s="5" t="s">
        <v>159</v>
      </c>
      <c r="C26" s="5" t="s">
        <v>294</v>
      </c>
      <c r="D26" s="4" t="s">
        <v>220</v>
      </c>
      <c r="E26" s="5" t="s">
        <v>295</v>
      </c>
      <c r="F26" s="5" t="s">
        <v>296</v>
      </c>
      <c r="G26" s="5" t="s">
        <v>212</v>
      </c>
    </row>
    <row r="27" customFormat="false" ht="45" hidden="false" customHeight="true" outlineLevel="0" collapsed="false">
      <c r="A27" s="11" t="s">
        <v>297</v>
      </c>
      <c r="B27" s="5" t="s">
        <v>163</v>
      </c>
      <c r="C27" s="5" t="s">
        <v>298</v>
      </c>
      <c r="D27" s="4" t="s">
        <v>220</v>
      </c>
      <c r="E27" s="5" t="s">
        <v>216</v>
      </c>
      <c r="F27" s="5" t="s">
        <v>299</v>
      </c>
      <c r="G27" s="5" t="s">
        <v>300</v>
      </c>
    </row>
    <row r="28" customFormat="false" ht="45" hidden="false" customHeight="true" outlineLevel="0" collapsed="false">
      <c r="A28" s="11" t="s">
        <v>301</v>
      </c>
      <c r="B28" s="5" t="s">
        <v>167</v>
      </c>
      <c r="C28" s="5" t="s">
        <v>302</v>
      </c>
      <c r="D28" s="4" t="s">
        <v>220</v>
      </c>
      <c r="E28" s="5" t="s">
        <v>303</v>
      </c>
      <c r="F28" s="5" t="s">
        <v>304</v>
      </c>
      <c r="G28" s="5" t="s">
        <v>212</v>
      </c>
    </row>
    <row r="29" customFormat="false" ht="31.5" hidden="false" customHeight="true" outlineLevel="0" collapsed="false">
      <c r="A29" s="11" t="s">
        <v>305</v>
      </c>
      <c r="B29" s="5" t="s">
        <v>171</v>
      </c>
      <c r="C29" s="5" t="s">
        <v>306</v>
      </c>
      <c r="D29" s="5" t="s">
        <v>307</v>
      </c>
      <c r="E29" s="5" t="s">
        <v>308</v>
      </c>
      <c r="F29" s="5" t="s">
        <v>309</v>
      </c>
      <c r="G29" s="5" t="s">
        <v>264</v>
      </c>
    </row>
    <row r="30" customFormat="false" ht="31.5" hidden="false" customHeight="true" outlineLevel="0" collapsed="false">
      <c r="A30" s="11" t="s">
        <v>310</v>
      </c>
      <c r="B30" s="5" t="s">
        <v>175</v>
      </c>
      <c r="C30" s="5" t="s">
        <v>311</v>
      </c>
      <c r="D30" s="5" t="s">
        <v>312</v>
      </c>
      <c r="E30" s="5" t="s">
        <v>216</v>
      </c>
      <c r="F30" s="5" t="s">
        <v>313</v>
      </c>
      <c r="G30" s="5" t="s">
        <v>264</v>
      </c>
    </row>
    <row r="31" customFormat="false" ht="31.5" hidden="false" customHeight="true" outlineLevel="0" collapsed="false">
      <c r="A31" s="11" t="s">
        <v>314</v>
      </c>
      <c r="B31" s="5" t="s">
        <v>175</v>
      </c>
      <c r="C31" s="5" t="s">
        <v>315</v>
      </c>
      <c r="D31" s="5" t="s">
        <v>316</v>
      </c>
      <c r="E31" s="5" t="s">
        <v>317</v>
      </c>
      <c r="F31" s="5" t="s">
        <v>318</v>
      </c>
      <c r="G31" s="5" t="s">
        <v>264</v>
      </c>
    </row>
    <row r="32" customFormat="false" ht="31.5" hidden="false" customHeight="true" outlineLevel="0" collapsed="false">
      <c r="A32" s="11" t="s">
        <v>319</v>
      </c>
      <c r="B32" s="5" t="s">
        <v>175</v>
      </c>
      <c r="C32" s="5" t="s">
        <v>320</v>
      </c>
      <c r="D32" s="5" t="s">
        <v>321</v>
      </c>
      <c r="E32" s="5" t="s">
        <v>322</v>
      </c>
      <c r="F32" s="5" t="s">
        <v>323</v>
      </c>
      <c r="G32" s="5" t="s">
        <v>205</v>
      </c>
    </row>
    <row r="33" customFormat="false" ht="31.5" hidden="false" customHeight="true" outlineLevel="0" collapsed="false">
      <c r="A33" s="11" t="s">
        <v>324</v>
      </c>
      <c r="B33" s="5" t="s">
        <v>175</v>
      </c>
      <c r="C33" s="5" t="s">
        <v>325</v>
      </c>
      <c r="D33" s="5" t="s">
        <v>326</v>
      </c>
      <c r="E33" s="5" t="s">
        <v>322</v>
      </c>
      <c r="F33" s="5" t="s">
        <v>327</v>
      </c>
      <c r="G33" s="5" t="s">
        <v>264</v>
      </c>
    </row>
    <row r="34" customFormat="false" ht="45" hidden="false" customHeight="true" outlineLevel="0" collapsed="false">
      <c r="A34" s="11" t="s">
        <v>328</v>
      </c>
      <c r="B34" s="5" t="s">
        <v>180</v>
      </c>
      <c r="C34" s="5" t="s">
        <v>329</v>
      </c>
      <c r="D34" s="5" t="s">
        <v>330</v>
      </c>
      <c r="E34" s="5" t="s">
        <v>216</v>
      </c>
      <c r="F34" s="5" t="s">
        <v>331</v>
      </c>
      <c r="G34" s="5" t="s">
        <v>332</v>
      </c>
    </row>
    <row r="35" customFormat="false" ht="31.5" hidden="false" customHeight="true" outlineLevel="0" collapsed="false">
      <c r="A35" s="11" t="s">
        <v>333</v>
      </c>
      <c r="B35" s="5" t="s">
        <v>184</v>
      </c>
      <c r="C35" s="5" t="s">
        <v>334</v>
      </c>
      <c r="D35" s="5" t="s">
        <v>335</v>
      </c>
      <c r="E35" s="5" t="s">
        <v>336</v>
      </c>
      <c r="F35" s="5" t="s">
        <v>337</v>
      </c>
      <c r="G35" s="5" t="s">
        <v>264</v>
      </c>
    </row>
    <row r="36" customFormat="false" ht="31.5" hidden="false" customHeight="true" outlineLevel="0" collapsed="false">
      <c r="A36" s="11" t="s">
        <v>338</v>
      </c>
      <c r="B36" s="5" t="s">
        <v>184</v>
      </c>
      <c r="C36" s="5" t="s">
        <v>339</v>
      </c>
      <c r="D36" s="5" t="s">
        <v>340</v>
      </c>
      <c r="E36" s="5" t="s">
        <v>336</v>
      </c>
      <c r="F36" s="5" t="s">
        <v>337</v>
      </c>
      <c r="G36" s="5" t="s">
        <v>264</v>
      </c>
    </row>
    <row r="38" customFormat="false" ht="18" hidden="false" customHeight="true" outlineLevel="0" collapsed="false">
      <c r="A38" s="13" t="s">
        <v>341</v>
      </c>
      <c r="B38" s="13"/>
      <c r="C38" s="13"/>
      <c r="D38" s="13"/>
      <c r="E38" s="13"/>
      <c r="F38" s="13"/>
      <c r="G38" s="13"/>
    </row>
  </sheetData>
  <mergeCells count="3">
    <mergeCell ref="A1:G1"/>
    <mergeCell ref="A2:G2"/>
    <mergeCell ref="A38:G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4" min="3" style="0" width="52"/>
    <col collapsed="false" customWidth="true" hidden="false" outlineLevel="0" max="5" min="5" style="0" width="46"/>
  </cols>
  <sheetData>
    <row r="1" customFormat="false" ht="27.75" hidden="false" customHeight="true" outlineLevel="0" collapsed="false">
      <c r="A1" s="1" t="s">
        <v>342</v>
      </c>
      <c r="B1" s="1"/>
      <c r="C1" s="1"/>
      <c r="D1" s="1"/>
      <c r="E1" s="1"/>
    </row>
    <row r="2" customFormat="false" ht="30" hidden="false" customHeight="true" outlineLevel="0" collapsed="false">
      <c r="A2" s="2" t="s">
        <v>343</v>
      </c>
      <c r="B2" s="2"/>
      <c r="C2" s="2"/>
      <c r="D2" s="2"/>
      <c r="E2" s="2"/>
    </row>
    <row r="4" customFormat="false" ht="31.5" hidden="false" customHeight="true" outlineLevel="0" collapsed="false">
      <c r="A4" s="3" t="s">
        <v>344</v>
      </c>
      <c r="B4" s="3" t="s">
        <v>345</v>
      </c>
      <c r="C4" s="3" t="s">
        <v>346</v>
      </c>
      <c r="D4" s="3" t="s">
        <v>347</v>
      </c>
      <c r="E4" s="3" t="s">
        <v>348</v>
      </c>
    </row>
    <row r="5" customFormat="false" ht="72" hidden="false" customHeight="true" outlineLevel="0" collapsed="false">
      <c r="A5" s="11" t="s">
        <v>349</v>
      </c>
      <c r="B5" s="4" t="s">
        <v>350</v>
      </c>
      <c r="C5" s="5" t="s">
        <v>351</v>
      </c>
      <c r="D5" s="5" t="s">
        <v>352</v>
      </c>
      <c r="E5" s="5" t="s">
        <v>353</v>
      </c>
    </row>
    <row r="6" customFormat="false" ht="58.5" hidden="false" customHeight="true" outlineLevel="0" collapsed="false">
      <c r="A6" s="11" t="s">
        <v>354</v>
      </c>
      <c r="B6" s="4" t="s">
        <v>355</v>
      </c>
      <c r="C6" s="5" t="s">
        <v>356</v>
      </c>
      <c r="D6" s="5" t="s">
        <v>357</v>
      </c>
      <c r="E6" s="5" t="s">
        <v>358</v>
      </c>
    </row>
    <row r="7" customFormat="false" ht="58.5" hidden="false" customHeight="true" outlineLevel="0" collapsed="false">
      <c r="A7" s="11" t="s">
        <v>359</v>
      </c>
      <c r="B7" s="4" t="s">
        <v>350</v>
      </c>
      <c r="C7" s="5" t="s">
        <v>360</v>
      </c>
      <c r="D7" s="5" t="s">
        <v>361</v>
      </c>
      <c r="E7" s="5" t="s">
        <v>362</v>
      </c>
    </row>
    <row r="8" customFormat="false" ht="72" hidden="false" customHeight="true" outlineLevel="0" collapsed="false">
      <c r="A8" s="11" t="s">
        <v>363</v>
      </c>
      <c r="B8" s="4" t="s">
        <v>355</v>
      </c>
      <c r="C8" s="5" t="s">
        <v>364</v>
      </c>
      <c r="D8" s="5" t="s">
        <v>365</v>
      </c>
      <c r="E8" s="5" t="s">
        <v>366</v>
      </c>
    </row>
    <row r="9" customFormat="false" ht="58.5" hidden="false" customHeight="true" outlineLevel="0" collapsed="false">
      <c r="A9" s="11" t="s">
        <v>367</v>
      </c>
      <c r="B9" s="4" t="s">
        <v>355</v>
      </c>
      <c r="C9" s="5" t="s">
        <v>368</v>
      </c>
      <c r="D9" s="5" t="s">
        <v>369</v>
      </c>
      <c r="E9" s="5" t="s">
        <v>370</v>
      </c>
    </row>
    <row r="10" customFormat="false" ht="45" hidden="false" customHeight="true" outlineLevel="0" collapsed="false">
      <c r="A10" s="11" t="s">
        <v>371</v>
      </c>
      <c r="B10" s="4" t="s">
        <v>350</v>
      </c>
      <c r="C10" s="5" t="s">
        <v>372</v>
      </c>
      <c r="D10" s="5" t="s">
        <v>373</v>
      </c>
      <c r="E10" s="5" t="s">
        <v>374</v>
      </c>
    </row>
    <row r="11" customFormat="false" ht="45" hidden="false" customHeight="true" outlineLevel="0" collapsed="false">
      <c r="A11" s="11" t="s">
        <v>375</v>
      </c>
      <c r="B11" s="4" t="s">
        <v>350</v>
      </c>
      <c r="C11" s="5" t="s">
        <v>376</v>
      </c>
      <c r="D11" s="5" t="s">
        <v>377</v>
      </c>
      <c r="E11" s="5" t="s">
        <v>378</v>
      </c>
    </row>
    <row r="12" customFormat="false" ht="45" hidden="false" customHeight="true" outlineLevel="0" collapsed="false">
      <c r="A12" s="11" t="s">
        <v>379</v>
      </c>
      <c r="B12" s="4" t="s">
        <v>350</v>
      </c>
      <c r="C12" s="5" t="s">
        <v>380</v>
      </c>
      <c r="D12" s="5" t="s">
        <v>381</v>
      </c>
      <c r="E12" s="5" t="s">
        <v>382</v>
      </c>
    </row>
    <row r="13" customFormat="false" ht="45" hidden="false" customHeight="true" outlineLevel="0" collapsed="false">
      <c r="A13" s="11" t="s">
        <v>383</v>
      </c>
      <c r="B13" s="4" t="s">
        <v>350</v>
      </c>
      <c r="C13" s="5" t="s">
        <v>384</v>
      </c>
      <c r="D13" s="5" t="s">
        <v>385</v>
      </c>
      <c r="E13" s="5" t="s">
        <v>386</v>
      </c>
    </row>
    <row r="14" customFormat="false" ht="58.5" hidden="false" customHeight="true" outlineLevel="0" collapsed="false">
      <c r="A14" s="11" t="s">
        <v>387</v>
      </c>
      <c r="B14" s="4" t="s">
        <v>350</v>
      </c>
      <c r="C14" s="5" t="s">
        <v>388</v>
      </c>
      <c r="D14" s="5" t="s">
        <v>389</v>
      </c>
      <c r="E14" s="5" t="s">
        <v>390</v>
      </c>
    </row>
    <row r="15" customFormat="false" ht="45" hidden="false" customHeight="true" outlineLevel="0" collapsed="false">
      <c r="A15" s="11" t="s">
        <v>391</v>
      </c>
      <c r="B15" s="4" t="s">
        <v>350</v>
      </c>
      <c r="C15" s="5" t="s">
        <v>392</v>
      </c>
      <c r="D15" s="5" t="s">
        <v>393</v>
      </c>
      <c r="E15" s="5" t="s">
        <v>394</v>
      </c>
    </row>
    <row r="16" customFormat="false" ht="58.5" hidden="false" customHeight="true" outlineLevel="0" collapsed="false">
      <c r="A16" s="11" t="s">
        <v>395</v>
      </c>
      <c r="B16" s="4" t="s">
        <v>350</v>
      </c>
      <c r="C16" s="5" t="s">
        <v>396</v>
      </c>
      <c r="D16" s="5" t="s">
        <v>397</v>
      </c>
      <c r="E16" s="5" t="s">
        <v>398</v>
      </c>
    </row>
    <row r="17" customFormat="false" ht="58.5" hidden="false" customHeight="true" outlineLevel="0" collapsed="false">
      <c r="A17" s="11" t="s">
        <v>399</v>
      </c>
      <c r="B17" s="4" t="s">
        <v>400</v>
      </c>
      <c r="C17" s="5" t="s">
        <v>401</v>
      </c>
      <c r="D17" s="5" t="s">
        <v>402</v>
      </c>
      <c r="E17" s="5" t="s">
        <v>403</v>
      </c>
    </row>
    <row r="18" customFormat="false" ht="72" hidden="false" customHeight="true" outlineLevel="0" collapsed="false">
      <c r="A18" s="11" t="s">
        <v>404</v>
      </c>
      <c r="B18" s="4" t="s">
        <v>400</v>
      </c>
      <c r="C18" s="5" t="s">
        <v>405</v>
      </c>
      <c r="D18" s="5" t="s">
        <v>406</v>
      </c>
      <c r="E18" s="5" t="s">
        <v>407</v>
      </c>
    </row>
    <row r="19" customFormat="false" ht="58.5" hidden="false" customHeight="true" outlineLevel="0" collapsed="false">
      <c r="A19" s="11" t="s">
        <v>408</v>
      </c>
      <c r="B19" s="4" t="s">
        <v>350</v>
      </c>
      <c r="C19" s="5" t="s">
        <v>409</v>
      </c>
      <c r="D19" s="5" t="s">
        <v>410</v>
      </c>
      <c r="E19" s="5" t="s">
        <v>411</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0"/>
    <col collapsed="false" customWidth="true" hidden="false" outlineLevel="0" max="4" min="3" style="0" width="20"/>
    <col collapsed="false" customWidth="true" hidden="false" outlineLevel="0" max="5" min="5" style="0" width="70"/>
  </cols>
  <sheetData>
    <row r="1" customFormat="false" ht="27.75" hidden="false" customHeight="true" outlineLevel="0" collapsed="false">
      <c r="A1" s="1" t="s">
        <v>412</v>
      </c>
      <c r="B1" s="1"/>
      <c r="C1" s="1"/>
      <c r="D1" s="1"/>
      <c r="E1" s="1"/>
    </row>
    <row r="2" customFormat="false" ht="30" hidden="false" customHeight="true" outlineLevel="0" collapsed="false">
      <c r="A2" s="2" t="s">
        <v>413</v>
      </c>
      <c r="B2" s="2"/>
      <c r="C2" s="2"/>
      <c r="D2" s="2"/>
      <c r="E2" s="2"/>
    </row>
    <row r="4" customFormat="false" ht="18" hidden="false" customHeight="true" outlineLevel="0" collapsed="false">
      <c r="A4" s="10" t="s">
        <v>414</v>
      </c>
      <c r="B4" s="10"/>
      <c r="C4" s="10"/>
      <c r="D4" s="10"/>
      <c r="E4" s="10"/>
    </row>
    <row r="5" customFormat="false" ht="18" hidden="false" customHeight="true" outlineLevel="0" collapsed="false">
      <c r="A5" s="3" t="s">
        <v>91</v>
      </c>
      <c r="B5" s="3" t="s">
        <v>415</v>
      </c>
      <c r="C5" s="3" t="s">
        <v>416</v>
      </c>
      <c r="D5" s="3" t="s">
        <v>417</v>
      </c>
      <c r="E5" s="3" t="s">
        <v>418</v>
      </c>
    </row>
    <row r="6" customFormat="false" ht="45" hidden="false" customHeight="true" outlineLevel="0" collapsed="false">
      <c r="A6" s="11" t="s">
        <v>419</v>
      </c>
      <c r="B6" s="14" t="n">
        <v>0.4</v>
      </c>
      <c r="C6" s="15" t="n">
        <v>5</v>
      </c>
      <c r="D6" s="15" t="n">
        <v>1</v>
      </c>
      <c r="E6" s="5" t="s">
        <v>420</v>
      </c>
    </row>
    <row r="7" customFormat="false" ht="45" hidden="false" customHeight="true" outlineLevel="0" collapsed="false">
      <c r="A7" s="11" t="s">
        <v>421</v>
      </c>
      <c r="B7" s="14" t="n">
        <v>0.35</v>
      </c>
      <c r="C7" s="15" t="n">
        <v>4</v>
      </c>
      <c r="D7" s="15" t="n">
        <v>5</v>
      </c>
      <c r="E7" s="5" t="s">
        <v>422</v>
      </c>
    </row>
    <row r="8" customFormat="false" ht="45" hidden="false" customHeight="true" outlineLevel="0" collapsed="false">
      <c r="A8" s="11" t="s">
        <v>423</v>
      </c>
      <c r="B8" s="14" t="n">
        <v>0.25</v>
      </c>
      <c r="C8" s="15" t="n">
        <v>5</v>
      </c>
      <c r="D8" s="15" t="n">
        <v>4</v>
      </c>
      <c r="E8" s="5" t="s">
        <v>424</v>
      </c>
    </row>
    <row r="9" customFormat="false" ht="18" hidden="false" customHeight="true" outlineLevel="0" collapsed="false">
      <c r="A9" s="16" t="s">
        <v>425</v>
      </c>
      <c r="B9" s="17" t="n">
        <f aca="false">SUM(B6:B8)</f>
        <v>1</v>
      </c>
      <c r="C9" s="18" t="n">
        <f aca="false">SUMPRODUCT($B$6:$B$8,C6:C8)</f>
        <v>4.65</v>
      </c>
      <c r="D9" s="18" t="n">
        <f aca="false">SUMPRODUCT($B$6:$B$8,D6:D8)</f>
        <v>3.15</v>
      </c>
      <c r="E9" s="7" t="str">
        <f aca="false">IF(ROUND(B9,4)&lt;&gt;1,"⚠ Los pesos no suman 100 %","Pesos = 100 %")</f>
        <v>Pesos = 100 %</v>
      </c>
    </row>
    <row r="10" customFormat="false" ht="18" hidden="false" customHeight="true" outlineLevel="0" collapsed="false">
      <c r="A10" s="16" t="s">
        <v>426</v>
      </c>
      <c r="B10" s="16" t="str">
        <f aca="false">IF(C9&gt;D9,"Alternativa A (SoC híbrido – SmartFusion2)",IF(D9&gt;C9,"Alternativa B (MCU tradicional)","Empate"))</f>
        <v>Alternativa A (SoC híbrido – SmartFusion2)</v>
      </c>
      <c r="C10" s="16"/>
      <c r="D10" s="16"/>
      <c r="E10" s="16"/>
    </row>
    <row r="12" customFormat="false" ht="18" hidden="false" customHeight="true" outlineLevel="0" collapsed="false">
      <c r="A12" s="10" t="s">
        <v>427</v>
      </c>
      <c r="B12" s="10"/>
      <c r="C12" s="10"/>
      <c r="D12" s="10"/>
      <c r="E12" s="10"/>
    </row>
    <row r="13" customFormat="false" ht="18" hidden="false" customHeight="true" outlineLevel="0" collapsed="false">
      <c r="A13" s="3" t="s">
        <v>91</v>
      </c>
      <c r="B13" s="3" t="s">
        <v>415</v>
      </c>
      <c r="C13" s="3" t="s">
        <v>416</v>
      </c>
      <c r="D13" s="3" t="s">
        <v>417</v>
      </c>
      <c r="E13" s="3" t="s">
        <v>418</v>
      </c>
    </row>
    <row r="14" customFormat="false" ht="45" hidden="false" customHeight="true" outlineLevel="0" collapsed="false">
      <c r="A14" s="11" t="s">
        <v>428</v>
      </c>
      <c r="B14" s="14" t="n">
        <v>0.4</v>
      </c>
      <c r="C14" s="15" t="n">
        <v>5</v>
      </c>
      <c r="D14" s="15" t="n">
        <v>1</v>
      </c>
      <c r="E14" s="5" t="s">
        <v>429</v>
      </c>
    </row>
    <row r="15" customFormat="false" ht="45" hidden="false" customHeight="true" outlineLevel="0" collapsed="false">
      <c r="A15" s="11" t="s">
        <v>430</v>
      </c>
      <c r="B15" s="14" t="n">
        <v>0.3</v>
      </c>
      <c r="C15" s="15" t="n">
        <v>3</v>
      </c>
      <c r="D15" s="15" t="n">
        <v>5</v>
      </c>
      <c r="E15" s="5" t="s">
        <v>431</v>
      </c>
    </row>
    <row r="16" customFormat="false" ht="45" hidden="false" customHeight="true" outlineLevel="0" collapsed="false">
      <c r="A16" s="11" t="s">
        <v>432</v>
      </c>
      <c r="B16" s="14" t="n">
        <v>0.3</v>
      </c>
      <c r="C16" s="15" t="n">
        <v>5</v>
      </c>
      <c r="D16" s="15" t="n">
        <v>1</v>
      </c>
      <c r="E16" s="5" t="s">
        <v>433</v>
      </c>
    </row>
    <row r="17" customFormat="false" ht="18" hidden="false" customHeight="true" outlineLevel="0" collapsed="false">
      <c r="A17" s="16" t="s">
        <v>425</v>
      </c>
      <c r="B17" s="17" t="n">
        <f aca="false">SUM(B14:B16)</f>
        <v>1</v>
      </c>
      <c r="C17" s="18" t="n">
        <f aca="false">SUMPRODUCT($B$14:$B$16,C14:C16)</f>
        <v>4.4</v>
      </c>
      <c r="D17" s="18" t="n">
        <f aca="false">SUMPRODUCT($B$14:$B$16,D14:D16)</f>
        <v>2.2</v>
      </c>
      <c r="E17" s="7" t="str">
        <f aca="false">IF(ROUND(B17,4)&lt;&gt;1,"⚠ Los pesos no suman 100 %","Pesos = 100 %")</f>
        <v>Pesos = 100 %</v>
      </c>
    </row>
    <row r="18" customFormat="false" ht="18" hidden="false" customHeight="true" outlineLevel="0" collapsed="false">
      <c r="A18" s="16" t="s">
        <v>426</v>
      </c>
      <c r="B18" s="16" t="str">
        <f aca="false">IF(C17&gt;D17,"Alternativa A (Magnetorques)",IF(D17&gt;C17,"Alternativa B (Ruedas de reacción)","Empate"))</f>
        <v>Alternativa A (Magnetorques)</v>
      </c>
      <c r="C18" s="16"/>
      <c r="D18" s="16"/>
      <c r="E18" s="16"/>
    </row>
    <row r="20" customFormat="false" ht="18" hidden="false" customHeight="true" outlineLevel="0" collapsed="false">
      <c r="A20" s="10" t="s">
        <v>434</v>
      </c>
      <c r="B20" s="10"/>
      <c r="C20" s="10"/>
      <c r="D20" s="10"/>
      <c r="E20" s="10"/>
    </row>
    <row r="21" customFormat="false" ht="18" hidden="false" customHeight="true" outlineLevel="0" collapsed="false">
      <c r="A21" s="3" t="s">
        <v>91</v>
      </c>
      <c r="B21" s="3" t="s">
        <v>415</v>
      </c>
      <c r="C21" s="3" t="s">
        <v>416</v>
      </c>
      <c r="D21" s="3" t="s">
        <v>417</v>
      </c>
      <c r="E21" s="3" t="s">
        <v>418</v>
      </c>
    </row>
    <row r="22" customFormat="false" ht="45" hidden="false" customHeight="true" outlineLevel="0" collapsed="false">
      <c r="A22" s="11" t="s">
        <v>435</v>
      </c>
      <c r="B22" s="14" t="n">
        <v>0.4</v>
      </c>
      <c r="C22" s="15" t="n">
        <v>5</v>
      </c>
      <c r="D22" s="15" t="n">
        <v>1</v>
      </c>
      <c r="E22" s="5" t="s">
        <v>436</v>
      </c>
    </row>
    <row r="23" customFormat="false" ht="45" hidden="false" customHeight="true" outlineLevel="0" collapsed="false">
      <c r="A23" s="11" t="s">
        <v>437</v>
      </c>
      <c r="B23" s="14" t="n">
        <v>0.3</v>
      </c>
      <c r="C23" s="15" t="n">
        <v>4</v>
      </c>
      <c r="D23" s="15" t="n">
        <v>5</v>
      </c>
      <c r="E23" s="5" t="s">
        <v>438</v>
      </c>
    </row>
    <row r="24" customFormat="false" ht="45" hidden="false" customHeight="true" outlineLevel="0" collapsed="false">
      <c r="A24" s="11" t="s">
        <v>439</v>
      </c>
      <c r="B24" s="14" t="n">
        <v>0.3</v>
      </c>
      <c r="C24" s="15" t="n">
        <v>5</v>
      </c>
      <c r="D24" s="15" t="n">
        <v>3</v>
      </c>
      <c r="E24" s="5" t="s">
        <v>440</v>
      </c>
    </row>
    <row r="25" customFormat="false" ht="18" hidden="false" customHeight="true" outlineLevel="0" collapsed="false">
      <c r="A25" s="16" t="s">
        <v>425</v>
      </c>
      <c r="B25" s="17" t="n">
        <f aca="false">SUM(B22:B24)</f>
        <v>1</v>
      </c>
      <c r="C25" s="18" t="n">
        <f aca="false">SUMPRODUCT($B$22:$B$24,C22:C24)</f>
        <v>4.7</v>
      </c>
      <c r="D25" s="18" t="n">
        <f aca="false">SUMPRODUCT($B$22:$B$24,D22:D24)</f>
        <v>2.8</v>
      </c>
      <c r="E25" s="7" t="str">
        <f aca="false">IF(ROUND(B25,4)&lt;&gt;1,"⚠ Los pesos no suman 100 %","Pesos = 100 %")</f>
        <v>Pesos = 100 %</v>
      </c>
    </row>
    <row r="26" customFormat="false" ht="18" hidden="false" customHeight="true" outlineLevel="0" collapsed="false">
      <c r="A26" s="16" t="s">
        <v>426</v>
      </c>
      <c r="B26" s="16" t="str">
        <f aca="false">IF(C25&gt;D25,"Alternativa A (Bus CAN + Bus Dedicado)",IF(D25&gt;C25,"Alternativa B (SpaceWire)","Empate"))</f>
        <v>Alternativa A (Bus CAN + Bus Dedicado)</v>
      </c>
      <c r="C26" s="16"/>
      <c r="D26" s="16"/>
      <c r="E26" s="16"/>
    </row>
    <row r="28" customFormat="false" ht="18" hidden="false" customHeight="true" outlineLevel="0" collapsed="false">
      <c r="A28" s="10" t="s">
        <v>441</v>
      </c>
      <c r="B28" s="10"/>
      <c r="C28" s="10"/>
      <c r="D28" s="10"/>
      <c r="E28" s="10"/>
    </row>
    <row r="29" customFormat="false" ht="18" hidden="false" customHeight="true" outlineLevel="0" collapsed="false">
      <c r="A29" s="3" t="s">
        <v>91</v>
      </c>
      <c r="B29" s="3" t="s">
        <v>415</v>
      </c>
      <c r="C29" s="3" t="s">
        <v>416</v>
      </c>
      <c r="D29" s="3" t="s">
        <v>417</v>
      </c>
      <c r="E29" s="3" t="s">
        <v>418</v>
      </c>
    </row>
    <row r="30" customFormat="false" ht="58.5" hidden="false" customHeight="true" outlineLevel="0" collapsed="false">
      <c r="A30" s="11" t="s">
        <v>442</v>
      </c>
      <c r="B30" s="14" t="n">
        <v>0.35</v>
      </c>
      <c r="C30" s="15" t="n">
        <v>2</v>
      </c>
      <c r="D30" s="15" t="n">
        <v>5</v>
      </c>
      <c r="E30" s="5" t="s">
        <v>443</v>
      </c>
    </row>
    <row r="31" customFormat="false" ht="58.5" hidden="false" customHeight="true" outlineLevel="0" collapsed="false">
      <c r="A31" s="11" t="s">
        <v>444</v>
      </c>
      <c r="B31" s="14" t="n">
        <v>0.25</v>
      </c>
      <c r="C31" s="15" t="n">
        <v>3</v>
      </c>
      <c r="D31" s="15" t="n">
        <v>5</v>
      </c>
      <c r="E31" s="5" t="s">
        <v>445</v>
      </c>
    </row>
    <row r="32" customFormat="false" ht="45" hidden="false" customHeight="true" outlineLevel="0" collapsed="false">
      <c r="A32" s="11" t="s">
        <v>446</v>
      </c>
      <c r="B32" s="14" t="n">
        <v>0.25</v>
      </c>
      <c r="C32" s="15" t="n">
        <v>5</v>
      </c>
      <c r="D32" s="15" t="n">
        <v>4</v>
      </c>
      <c r="E32" s="5" t="s">
        <v>447</v>
      </c>
    </row>
    <row r="33" customFormat="false" ht="45" hidden="false" customHeight="true" outlineLevel="0" collapsed="false">
      <c r="A33" s="11" t="s">
        <v>448</v>
      </c>
      <c r="B33" s="14" t="n">
        <v>0.15</v>
      </c>
      <c r="C33" s="15" t="n">
        <v>4</v>
      </c>
      <c r="D33" s="15" t="n">
        <v>3</v>
      </c>
      <c r="E33" s="5" t="s">
        <v>449</v>
      </c>
    </row>
    <row r="34" customFormat="false" ht="18" hidden="false" customHeight="true" outlineLevel="0" collapsed="false">
      <c r="A34" s="16" t="s">
        <v>425</v>
      </c>
      <c r="B34" s="17" t="n">
        <f aca="false">SUM(B30:B33)</f>
        <v>1</v>
      </c>
      <c r="C34" s="18" t="n">
        <f aca="false">SUMPRODUCT($B$30:$B$33,C30:C33)</f>
        <v>3.3</v>
      </c>
      <c r="D34" s="18" t="n">
        <f aca="false">SUMPRODUCT($B$30:$B$33,D30:D33)</f>
        <v>4.45</v>
      </c>
      <c r="E34" s="7" t="str">
        <f aca="false">IF(ROUND(B34,4)&lt;&gt;1,"⚠ Los pesos no suman 100 %","Pesos = 100 %")</f>
        <v>Pesos = 100 %</v>
      </c>
    </row>
    <row r="35" customFormat="false" ht="18" hidden="false" customHeight="true" outlineLevel="0" collapsed="false">
      <c r="A35" s="16" t="s">
        <v>426</v>
      </c>
      <c r="B35" s="16" t="str">
        <f aca="false">IF(C34&gt;D34,"Alternativa A (2 PCBs – Alta Integración)",IF(D34&gt;C34,"Alternativa B (3 PCBs – Arquitectura Modular)","Empate"))</f>
        <v>Alternativa B (3 PCBs – Arquitectura Modular)</v>
      </c>
      <c r="C35" s="16"/>
      <c r="D35" s="16"/>
      <c r="E35" s="16"/>
    </row>
    <row r="37" customFormat="false" ht="31.5" hidden="false" customHeight="true" outlineLevel="0" collapsed="false">
      <c r="A37" s="13" t="s">
        <v>450</v>
      </c>
      <c r="B37" s="13"/>
      <c r="C37" s="13"/>
      <c r="D37" s="13"/>
      <c r="E37" s="13"/>
    </row>
  </sheetData>
  <mergeCells count="11">
    <mergeCell ref="A1:E1"/>
    <mergeCell ref="A2:E2"/>
    <mergeCell ref="A4:E4"/>
    <mergeCell ref="B10:E10"/>
    <mergeCell ref="A12:E12"/>
    <mergeCell ref="B18:E18"/>
    <mergeCell ref="A20:E20"/>
    <mergeCell ref="B26:E26"/>
    <mergeCell ref="A28:E28"/>
    <mergeCell ref="B35:E35"/>
    <mergeCell ref="A37:E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14"/>
    <col collapsed="false" customWidth="true" hidden="false" outlineLevel="0" max="4" min="4" style="0" width="30"/>
    <col collapsed="false" customWidth="true" hidden="false" outlineLevel="0" max="5" min="5" style="0" width="18"/>
    <col collapsed="false" customWidth="true" hidden="false" outlineLevel="0" max="6" min="6" style="0" width="36"/>
    <col collapsed="false" customWidth="true" hidden="false" outlineLevel="0" max="7" min="7" style="0" width="20"/>
    <col collapsed="false" customWidth="true" hidden="false" outlineLevel="0" max="8" min="8" style="0" width="38"/>
  </cols>
  <sheetData>
    <row r="1" customFormat="false" ht="27.75" hidden="false" customHeight="true" outlineLevel="0" collapsed="false">
      <c r="A1" s="1" t="s">
        <v>451</v>
      </c>
      <c r="B1" s="1"/>
      <c r="C1" s="1"/>
      <c r="D1" s="1"/>
      <c r="E1" s="1"/>
      <c r="F1" s="1"/>
      <c r="G1" s="1"/>
      <c r="H1" s="1"/>
    </row>
    <row r="2" customFormat="false" ht="30" hidden="false" customHeight="true" outlineLevel="0" collapsed="false">
      <c r="A2" s="2" t="s">
        <v>452</v>
      </c>
      <c r="B2" s="2"/>
      <c r="C2" s="2"/>
      <c r="D2" s="2"/>
      <c r="E2" s="2"/>
      <c r="F2" s="2"/>
      <c r="G2" s="2"/>
      <c r="H2" s="2"/>
    </row>
    <row r="4" customFormat="false" ht="31.5" hidden="false" customHeight="true" outlineLevel="0" collapsed="false">
      <c r="A4" s="3" t="s">
        <v>66</v>
      </c>
      <c r="B4" s="3" t="s">
        <v>453</v>
      </c>
      <c r="C4" s="3" t="s">
        <v>454</v>
      </c>
      <c r="D4" s="3" t="s">
        <v>344</v>
      </c>
      <c r="E4" s="3" t="s">
        <v>455</v>
      </c>
      <c r="F4" s="3" t="s">
        <v>456</v>
      </c>
      <c r="G4" s="3" t="s">
        <v>457</v>
      </c>
      <c r="H4" s="3" t="s">
        <v>458</v>
      </c>
    </row>
    <row r="5" customFormat="false" ht="31.5" hidden="false" customHeight="true" outlineLevel="0" collapsed="false">
      <c r="A5" s="11" t="s">
        <v>459</v>
      </c>
      <c r="B5" s="5" t="s">
        <v>460</v>
      </c>
      <c r="C5" s="5" t="s">
        <v>461</v>
      </c>
      <c r="D5" s="5" t="s">
        <v>462</v>
      </c>
      <c r="E5" s="5" t="s">
        <v>463</v>
      </c>
      <c r="F5" s="5" t="s">
        <v>464</v>
      </c>
      <c r="G5" s="5" t="s">
        <v>465</v>
      </c>
      <c r="H5" s="5" t="s">
        <v>466</v>
      </c>
    </row>
    <row r="6" customFormat="false" ht="45" hidden="false" customHeight="true" outlineLevel="0" collapsed="false">
      <c r="A6" s="11" t="s">
        <v>467</v>
      </c>
      <c r="B6" s="5" t="s">
        <v>468</v>
      </c>
      <c r="C6" s="5" t="s">
        <v>461</v>
      </c>
      <c r="D6" s="5" t="s">
        <v>469</v>
      </c>
      <c r="E6" s="5" t="s">
        <v>470</v>
      </c>
      <c r="F6" s="5" t="s">
        <v>471</v>
      </c>
      <c r="G6" s="5" t="s">
        <v>472</v>
      </c>
      <c r="H6" s="5" t="s">
        <v>473</v>
      </c>
    </row>
    <row r="7" customFormat="false" ht="45" hidden="false" customHeight="true" outlineLevel="0" collapsed="false">
      <c r="A7" s="11" t="s">
        <v>474</v>
      </c>
      <c r="B7" s="5" t="s">
        <v>461</v>
      </c>
      <c r="C7" s="5" t="s">
        <v>475</v>
      </c>
      <c r="D7" s="5" t="s">
        <v>476</v>
      </c>
      <c r="E7" s="5" t="s">
        <v>477</v>
      </c>
      <c r="F7" s="5" t="s">
        <v>478</v>
      </c>
      <c r="G7" s="5" t="s">
        <v>479</v>
      </c>
      <c r="H7" s="5" t="s">
        <v>480</v>
      </c>
    </row>
    <row r="8" customFormat="false" ht="45" hidden="false" customHeight="true" outlineLevel="0" collapsed="false">
      <c r="A8" s="11" t="s">
        <v>481</v>
      </c>
      <c r="B8" s="5" t="s">
        <v>482</v>
      </c>
      <c r="C8" s="5" t="s">
        <v>461</v>
      </c>
      <c r="D8" s="5" t="s">
        <v>483</v>
      </c>
      <c r="E8" s="5" t="s">
        <v>484</v>
      </c>
      <c r="F8" s="5" t="s">
        <v>485</v>
      </c>
      <c r="G8" s="5" t="s">
        <v>486</v>
      </c>
      <c r="H8" s="5" t="s">
        <v>487</v>
      </c>
    </row>
    <row r="9" customFormat="false" ht="45" hidden="false" customHeight="true" outlineLevel="0" collapsed="false">
      <c r="A9" s="11" t="s">
        <v>488</v>
      </c>
      <c r="B9" s="5" t="s">
        <v>461</v>
      </c>
      <c r="C9" s="5" t="s">
        <v>482</v>
      </c>
      <c r="D9" s="5" t="s">
        <v>489</v>
      </c>
      <c r="E9" s="5" t="s">
        <v>490</v>
      </c>
      <c r="F9" s="5" t="s">
        <v>491</v>
      </c>
      <c r="G9" s="5" t="s">
        <v>492</v>
      </c>
      <c r="H9" s="5" t="s">
        <v>493</v>
      </c>
    </row>
    <row r="10" customFormat="false" ht="45" hidden="false" customHeight="true" outlineLevel="0" collapsed="false">
      <c r="A10" s="11" t="s">
        <v>494</v>
      </c>
      <c r="B10" s="5" t="s">
        <v>461</v>
      </c>
      <c r="C10" s="5" t="s">
        <v>495</v>
      </c>
      <c r="D10" s="5" t="s">
        <v>496</v>
      </c>
      <c r="E10" s="5" t="s">
        <v>497</v>
      </c>
      <c r="F10" s="5" t="s">
        <v>498</v>
      </c>
      <c r="G10" s="5" t="s">
        <v>499</v>
      </c>
      <c r="H10" s="5" t="s">
        <v>500</v>
      </c>
    </row>
    <row r="11" customFormat="false" ht="45" hidden="false" customHeight="true" outlineLevel="0" collapsed="false">
      <c r="A11" s="11" t="s">
        <v>501</v>
      </c>
      <c r="B11" s="5" t="s">
        <v>461</v>
      </c>
      <c r="C11" s="5" t="s">
        <v>502</v>
      </c>
      <c r="D11" s="5" t="s">
        <v>503</v>
      </c>
      <c r="E11" s="5" t="s">
        <v>504</v>
      </c>
      <c r="F11" s="5" t="s">
        <v>505</v>
      </c>
      <c r="G11" s="5" t="s">
        <v>506</v>
      </c>
      <c r="H11" s="5" t="s">
        <v>507</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22"/>
    <col collapsed="false" customWidth="true" hidden="false" outlineLevel="0" max="4" min="4" style="0" width="90"/>
  </cols>
  <sheetData>
    <row r="1" customFormat="false" ht="27.75" hidden="false" customHeight="true" outlineLevel="0" collapsed="false">
      <c r="A1" s="1" t="s">
        <v>508</v>
      </c>
      <c r="B1" s="1"/>
      <c r="C1" s="1"/>
      <c r="D1" s="1"/>
    </row>
    <row r="2" customFormat="false" ht="30" hidden="false" customHeight="true" outlineLevel="0" collapsed="false">
      <c r="A2" s="2" t="s">
        <v>509</v>
      </c>
      <c r="B2" s="2"/>
      <c r="C2" s="2"/>
      <c r="D2" s="2"/>
    </row>
    <row r="4" customFormat="false" ht="18" hidden="false" customHeight="true" outlineLevel="0" collapsed="false">
      <c r="A4" s="3" t="s">
        <v>510</v>
      </c>
      <c r="B4" s="3" t="s">
        <v>511</v>
      </c>
      <c r="C4" s="3" t="s">
        <v>512</v>
      </c>
      <c r="D4" s="3" t="s">
        <v>513</v>
      </c>
    </row>
    <row r="5" customFormat="false" ht="31.5" hidden="false" customHeight="true" outlineLevel="0" collapsed="false">
      <c r="A5" s="11" t="s">
        <v>514</v>
      </c>
      <c r="B5" s="5" t="s">
        <v>515</v>
      </c>
      <c r="C5" s="5" t="s">
        <v>516</v>
      </c>
      <c r="D5" s="5" t="s">
        <v>517</v>
      </c>
    </row>
    <row r="6" customFormat="false" ht="31.5" hidden="false" customHeight="true" outlineLevel="0" collapsed="false">
      <c r="A6" s="11" t="s">
        <v>518</v>
      </c>
      <c r="B6" s="5" t="s">
        <v>515</v>
      </c>
      <c r="C6" s="5" t="s">
        <v>519</v>
      </c>
      <c r="D6" s="5" t="s">
        <v>520</v>
      </c>
    </row>
    <row r="7" customFormat="false" ht="31.5" hidden="false" customHeight="true" outlineLevel="0" collapsed="false">
      <c r="A7" s="11" t="s">
        <v>521</v>
      </c>
      <c r="B7" s="5" t="s">
        <v>522</v>
      </c>
      <c r="C7" s="5" t="s">
        <v>523</v>
      </c>
      <c r="D7" s="5" t="s">
        <v>524</v>
      </c>
    </row>
    <row r="8" customFormat="false" ht="31.5" hidden="false" customHeight="true" outlineLevel="0" collapsed="false">
      <c r="A8" s="11" t="s">
        <v>525</v>
      </c>
      <c r="B8" s="5" t="s">
        <v>526</v>
      </c>
      <c r="C8" s="5" t="s">
        <v>527</v>
      </c>
      <c r="D8" s="5" t="s">
        <v>528</v>
      </c>
    </row>
    <row r="9" customFormat="false" ht="31.5" hidden="false" customHeight="true" outlineLevel="0" collapsed="false">
      <c r="A9" s="11" t="s">
        <v>529</v>
      </c>
      <c r="B9" s="5" t="s">
        <v>530</v>
      </c>
      <c r="C9" s="5" t="s">
        <v>531</v>
      </c>
      <c r="D9" s="5" t="s">
        <v>532</v>
      </c>
    </row>
    <row r="10" customFormat="false" ht="31.5" hidden="false" customHeight="true" outlineLevel="0" collapsed="false">
      <c r="A10" s="11" t="s">
        <v>533</v>
      </c>
      <c r="B10" s="5" t="s">
        <v>530</v>
      </c>
      <c r="C10" s="5" t="s">
        <v>531</v>
      </c>
      <c r="D10" s="5" t="s">
        <v>534</v>
      </c>
    </row>
    <row r="11" customFormat="false" ht="31.5" hidden="false" customHeight="true" outlineLevel="0" collapsed="false">
      <c r="A11" s="11" t="s">
        <v>535</v>
      </c>
      <c r="B11" s="5" t="s">
        <v>515</v>
      </c>
      <c r="C11" s="5" t="s">
        <v>536</v>
      </c>
      <c r="D11" s="5" t="s">
        <v>537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3" min="3" style="0" width="42"/>
  </cols>
  <sheetData>
    <row r="1" customFormat="false" ht="27.75" hidden="false" customHeight="true" outlineLevel="0" collapsed="false">
      <c r="A1" s="1" t="s">
        <v>538</v>
      </c>
      <c r="B1" s="1"/>
      <c r="C1" s="1"/>
    </row>
    <row r="2" customFormat="false" ht="30" hidden="false" customHeight="true" outlineLevel="0" collapsed="false">
      <c r="A2" s="2" t="s">
        <v>539</v>
      </c>
      <c r="B2" s="2"/>
      <c r="C2" s="2"/>
    </row>
    <row r="4" customFormat="false" ht="18" hidden="false" customHeight="true" outlineLevel="0" collapsed="false">
      <c r="A4" s="3" t="s">
        <v>540</v>
      </c>
      <c r="B4" s="3" t="s">
        <v>541</v>
      </c>
      <c r="C4" s="3" t="s">
        <v>542</v>
      </c>
    </row>
    <row r="5" customFormat="false" ht="18" hidden="false" customHeight="true" outlineLevel="0" collapsed="false">
      <c r="A5" s="11" t="s">
        <v>543</v>
      </c>
      <c r="B5" s="19" t="n">
        <v>180</v>
      </c>
      <c r="C5" s="5" t="s">
        <v>544</v>
      </c>
    </row>
    <row r="6" customFormat="false" ht="18" hidden="false" customHeight="true" outlineLevel="0" collapsed="false">
      <c r="A6" s="11" t="s">
        <v>545</v>
      </c>
      <c r="B6" s="19" t="n">
        <v>86</v>
      </c>
      <c r="C6" s="5" t="s">
        <v>546</v>
      </c>
    </row>
    <row r="7" customFormat="false" ht="18" hidden="false" customHeight="true" outlineLevel="0" collapsed="false">
      <c r="A7" s="11" t="s">
        <v>547</v>
      </c>
      <c r="B7" s="19" t="n">
        <v>100</v>
      </c>
      <c r="C7" s="5" t="s">
        <v>544</v>
      </c>
    </row>
    <row r="8" customFormat="false" ht="18" hidden="false" customHeight="true" outlineLevel="0" collapsed="false">
      <c r="A8" s="11" t="s">
        <v>548</v>
      </c>
      <c r="B8" s="19" t="n">
        <v>150</v>
      </c>
      <c r="C8" s="5" t="s">
        <v>544</v>
      </c>
    </row>
    <row r="9" customFormat="false" ht="18" hidden="false" customHeight="true" outlineLevel="0" collapsed="false">
      <c r="A9" s="11" t="s">
        <v>549</v>
      </c>
      <c r="B9" s="19" t="n">
        <v>100</v>
      </c>
      <c r="C9" s="5" t="s">
        <v>550</v>
      </c>
    </row>
    <row r="10" customFormat="false" ht="18" hidden="false" customHeight="true" outlineLevel="0" collapsed="false">
      <c r="A10" s="11" t="s">
        <v>551</v>
      </c>
      <c r="B10" s="19" t="n">
        <v>140</v>
      </c>
      <c r="C10" s="5" t="s">
        <v>552</v>
      </c>
    </row>
    <row r="11" customFormat="false" ht="18" hidden="false" customHeight="true" outlineLevel="0" collapsed="false">
      <c r="A11" s="11" t="s">
        <v>553</v>
      </c>
      <c r="B11" s="19" t="n">
        <v>70</v>
      </c>
      <c r="C11" s="5" t="s">
        <v>554</v>
      </c>
    </row>
    <row r="12" customFormat="false" ht="18" hidden="false" customHeight="true" outlineLevel="0" collapsed="false">
      <c r="A12" s="11" t="s">
        <v>555</v>
      </c>
      <c r="B12" s="19" t="n">
        <v>180</v>
      </c>
      <c r="C12" s="5" t="s">
        <v>544</v>
      </c>
    </row>
    <row r="13" customFormat="false" ht="18" hidden="false" customHeight="true" outlineLevel="0" collapsed="false">
      <c r="A13" s="11" t="s">
        <v>556</v>
      </c>
      <c r="B13" s="19" t="n">
        <v>40</v>
      </c>
      <c r="C13" s="5" t="s">
        <v>557</v>
      </c>
    </row>
    <row r="14" customFormat="false" ht="18" hidden="false" customHeight="true" outlineLevel="0" collapsed="false">
      <c r="A14" s="11" t="s">
        <v>558</v>
      </c>
      <c r="B14" s="19" t="n">
        <v>42</v>
      </c>
      <c r="C14" s="5" t="s">
        <v>559</v>
      </c>
    </row>
    <row r="15" customFormat="false" ht="18" hidden="false" customHeight="true" outlineLevel="0" collapsed="false">
      <c r="A15" s="11" t="s">
        <v>560</v>
      </c>
      <c r="B15" s="19" t="n">
        <v>80</v>
      </c>
      <c r="C15" s="5" t="s">
        <v>544</v>
      </c>
    </row>
    <row r="16" customFormat="false" ht="18" hidden="false" customHeight="true" outlineLevel="0" collapsed="false">
      <c r="A16" s="11" t="s">
        <v>561</v>
      </c>
      <c r="B16" s="19" t="n">
        <v>70</v>
      </c>
      <c r="C16" s="5" t="s">
        <v>562</v>
      </c>
    </row>
    <row r="17" customFormat="false" ht="18" hidden="false" customHeight="true" outlineLevel="0" collapsed="false">
      <c r="A17" s="16" t="s">
        <v>563</v>
      </c>
      <c r="B17" s="20" t="n">
        <f aca="false">SUM(B5:B16)</f>
        <v>1238</v>
      </c>
      <c r="C17" s="21" t="s">
        <v>216</v>
      </c>
    </row>
    <row r="18" customFormat="false" ht="18" hidden="false" customHeight="true" outlineLevel="0" collapsed="false">
      <c r="A18" s="16" t="str">
        <f aca="false">"Margen de diseño ("&amp;TEXT($B$23,"0%")&amp;")"</f>
        <v>Margen de diseño (20%)</v>
      </c>
      <c r="B18" s="20" t="n">
        <f aca="false">B17*$B$23</f>
        <v>247.6</v>
      </c>
      <c r="C18" s="21" t="s">
        <v>216</v>
      </c>
    </row>
    <row r="19" customFormat="false" ht="18" hidden="false" customHeight="true" outlineLevel="0" collapsed="false">
      <c r="A19" s="16" t="s">
        <v>564</v>
      </c>
      <c r="B19" s="20" t="n">
        <f aca="false">B17+B18</f>
        <v>1485.6</v>
      </c>
      <c r="C19" s="21" t="s">
        <v>216</v>
      </c>
    </row>
    <row r="20" customFormat="false" ht="18" hidden="false" customHeight="true" outlineLevel="0" collapsed="false">
      <c r="A20" s="16" t="s">
        <v>565</v>
      </c>
      <c r="B20" s="20" t="n">
        <f aca="false">$B$24-B19</f>
        <v>514.4</v>
      </c>
      <c r="C20" s="21" t="s">
        <v>216</v>
      </c>
    </row>
    <row r="22" customFormat="false" ht="18" hidden="false" customHeight="true" outlineLevel="0" collapsed="false">
      <c r="A22" s="10" t="s">
        <v>566</v>
      </c>
      <c r="B22" s="10"/>
      <c r="C22" s="10"/>
    </row>
    <row r="23" customFormat="false" ht="18" hidden="false" customHeight="true" outlineLevel="0" collapsed="false">
      <c r="A23" s="11" t="s">
        <v>567</v>
      </c>
      <c r="B23" s="14" t="n">
        <v>0.2</v>
      </c>
      <c r="C23" s="5" t="s">
        <v>568</v>
      </c>
    </row>
    <row r="24" customFormat="false" ht="18" hidden="false" customHeight="true" outlineLevel="0" collapsed="false">
      <c r="A24" s="11" t="s">
        <v>569</v>
      </c>
      <c r="B24" s="19" t="n">
        <v>2000</v>
      </c>
      <c r="C24" s="5" t="s">
        <v>570</v>
      </c>
    </row>
    <row r="26" customFormat="false" ht="18" hidden="false" customHeight="true" outlineLevel="0" collapsed="false">
      <c r="A26" s="10" t="s">
        <v>571</v>
      </c>
      <c r="B26" s="10"/>
      <c r="C26" s="10"/>
    </row>
    <row r="27" customFormat="false" ht="31.5" hidden="false" customHeight="true" outlineLevel="0" collapsed="false">
      <c r="A27" s="3" t="s">
        <v>572</v>
      </c>
      <c r="B27" s="3" t="s">
        <v>573</v>
      </c>
      <c r="C27" s="3" t="s">
        <v>574</v>
      </c>
    </row>
    <row r="28" customFormat="false" ht="18" hidden="false" customHeight="true" outlineLevel="0" collapsed="false">
      <c r="A28" s="11" t="s">
        <v>563</v>
      </c>
      <c r="B28" s="22" t="n">
        <v>1138</v>
      </c>
      <c r="C28" s="23" t="n">
        <f aca="false">B17-B28</f>
        <v>100</v>
      </c>
    </row>
    <row r="29" customFormat="false" ht="18" hidden="false" customHeight="true" outlineLevel="0" collapsed="false">
      <c r="A29" s="11" t="s">
        <v>575</v>
      </c>
      <c r="B29" s="22" t="n">
        <v>228</v>
      </c>
      <c r="C29" s="23" t="n">
        <f aca="false">B18-B29</f>
        <v>19.6</v>
      </c>
    </row>
    <row r="30" customFormat="false" ht="18" hidden="false" customHeight="true" outlineLevel="0" collapsed="false">
      <c r="A30" s="11" t="s">
        <v>564</v>
      </c>
      <c r="B30" s="22" t="n">
        <v>1366</v>
      </c>
      <c r="C30" s="23" t="n">
        <f aca="false">B19-B30</f>
        <v>119.6</v>
      </c>
    </row>
    <row r="31" customFormat="false" ht="18" hidden="false" customHeight="true" outlineLevel="0" collapsed="false">
      <c r="A31" s="11" t="s">
        <v>576</v>
      </c>
      <c r="B31" s="22" t="n">
        <v>634</v>
      </c>
      <c r="C31" s="23" t="n">
        <f aca="false">B20-B31</f>
        <v>-119.6</v>
      </c>
    </row>
    <row r="33" customFormat="false" ht="45" hidden="false" customHeight="true" outlineLevel="0" collapsed="false">
      <c r="A33" s="13" t="s">
        <v>577</v>
      </c>
      <c r="B33" s="13"/>
      <c r="C33" s="13"/>
    </row>
  </sheetData>
  <mergeCells count="5">
    <mergeCell ref="A1:C1"/>
    <mergeCell ref="A2:C2"/>
    <mergeCell ref="A22:C22"/>
    <mergeCell ref="A26:C26"/>
    <mergeCell ref="A33:C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6"/>
    <col collapsed="false" customWidth="true" hidden="false" outlineLevel="0" max="5" min="5" style="0" width="18"/>
    <col collapsed="false" customWidth="true" hidden="false" outlineLevel="0" max="6" min="6" style="0" width="16"/>
    <col collapsed="false" customWidth="true" hidden="false" outlineLevel="0" max="7" min="7" style="0" width="18"/>
    <col collapsed="false" customWidth="true" hidden="false" outlineLevel="0" max="8" min="8" style="0" width="32"/>
  </cols>
  <sheetData>
    <row r="1" customFormat="false" ht="27.75" hidden="false" customHeight="true" outlineLevel="0" collapsed="false">
      <c r="A1" s="1" t="s">
        <v>578</v>
      </c>
      <c r="B1" s="1"/>
      <c r="C1" s="1"/>
      <c r="D1" s="1"/>
      <c r="E1" s="1"/>
      <c r="F1" s="1"/>
      <c r="G1" s="1"/>
      <c r="H1" s="1"/>
    </row>
    <row r="2" customFormat="false" ht="30" hidden="false" customHeight="true" outlineLevel="0" collapsed="false">
      <c r="A2" s="2" t="s">
        <v>579</v>
      </c>
      <c r="B2" s="2"/>
      <c r="C2" s="2"/>
      <c r="D2" s="2"/>
      <c r="E2" s="2"/>
      <c r="F2" s="2"/>
      <c r="G2" s="2"/>
      <c r="H2" s="2"/>
    </row>
    <row r="4" customFormat="false" ht="31.5" hidden="false" customHeight="true" outlineLevel="0" collapsed="false">
      <c r="A4" s="3" t="s">
        <v>511</v>
      </c>
      <c r="B4" s="3" t="s">
        <v>580</v>
      </c>
      <c r="C4" s="3" t="s">
        <v>581</v>
      </c>
      <c r="D4" s="3" t="s">
        <v>582</v>
      </c>
      <c r="E4" s="3" t="s">
        <v>583</v>
      </c>
      <c r="F4" s="3" t="s">
        <v>584</v>
      </c>
      <c r="G4" s="3" t="s">
        <v>585</v>
      </c>
      <c r="H4" s="3" t="s">
        <v>586</v>
      </c>
    </row>
    <row r="5" customFormat="false" ht="18" hidden="false" customHeight="true" outlineLevel="0" collapsed="false">
      <c r="A5" s="11" t="s">
        <v>587</v>
      </c>
      <c r="B5" s="24" t="n">
        <v>0.15</v>
      </c>
      <c r="C5" s="24" t="n">
        <v>0.25</v>
      </c>
      <c r="D5" s="14" t="n">
        <v>1</v>
      </c>
      <c r="E5" s="25" t="n">
        <f aca="false">B5*D5*$B$17</f>
        <v>0.23875</v>
      </c>
      <c r="F5" s="19" t="n">
        <v>186</v>
      </c>
      <c r="G5" s="19" t="n">
        <v>260</v>
      </c>
      <c r="H5" s="5" t="s">
        <v>588</v>
      </c>
    </row>
    <row r="6" customFormat="false" ht="18" hidden="false" customHeight="true" outlineLevel="0" collapsed="false">
      <c r="A6" s="11" t="s">
        <v>589</v>
      </c>
      <c r="B6" s="24" t="n">
        <v>0.4</v>
      </c>
      <c r="C6" s="24" t="n">
        <v>0.8</v>
      </c>
      <c r="D6" s="14" t="n">
        <v>1</v>
      </c>
      <c r="E6" s="25" t="n">
        <f aca="false">B6*D6*$B$17</f>
        <v>0.636666666666667</v>
      </c>
      <c r="F6" s="19" t="n">
        <v>100</v>
      </c>
      <c r="G6" s="19" t="n">
        <v>55</v>
      </c>
      <c r="H6" s="5" t="s">
        <v>590</v>
      </c>
    </row>
    <row r="7" customFormat="false" ht="18" hidden="false" customHeight="true" outlineLevel="0" collapsed="false">
      <c r="A7" s="11" t="s">
        <v>591</v>
      </c>
      <c r="B7" s="24" t="n">
        <v>1.5</v>
      </c>
      <c r="C7" s="24" t="n">
        <v>2</v>
      </c>
      <c r="D7" s="14" t="n">
        <v>0.02</v>
      </c>
      <c r="E7" s="25" t="n">
        <f aca="false">B7*D7*$B$17</f>
        <v>0.04775</v>
      </c>
      <c r="F7" s="19" t="n">
        <v>180</v>
      </c>
      <c r="G7" s="19" t="n">
        <v>150</v>
      </c>
      <c r="H7" s="5" t="s">
        <v>592</v>
      </c>
    </row>
    <row r="8" customFormat="false" ht="18" hidden="false" customHeight="true" outlineLevel="0" collapsed="false">
      <c r="A8" s="11" t="s">
        <v>556</v>
      </c>
      <c r="B8" s="24" t="n">
        <v>0.2</v>
      </c>
      <c r="C8" s="24" t="n">
        <v>0.3</v>
      </c>
      <c r="D8" s="14" t="n">
        <v>1</v>
      </c>
      <c r="E8" s="25" t="n">
        <f aca="false">B8*D8*$B$17</f>
        <v>0.318333333333333</v>
      </c>
      <c r="F8" s="19" t="n">
        <v>40</v>
      </c>
      <c r="G8" s="19" t="n">
        <v>30</v>
      </c>
      <c r="H8" s="5" t="s">
        <v>557</v>
      </c>
    </row>
    <row r="9" customFormat="false" ht="18" hidden="false" customHeight="true" outlineLevel="0" collapsed="false">
      <c r="A9" s="11" t="s">
        <v>593</v>
      </c>
      <c r="B9" s="24" t="n">
        <v>0.45</v>
      </c>
      <c r="C9" s="24" t="n">
        <v>0.75</v>
      </c>
      <c r="D9" s="14" t="n">
        <v>0.25</v>
      </c>
      <c r="E9" s="25" t="n">
        <f aca="false">B9*D9*$B$17</f>
        <v>0.1790625</v>
      </c>
      <c r="F9" s="19" t="n">
        <v>42</v>
      </c>
      <c r="G9" s="19" t="n">
        <v>30</v>
      </c>
      <c r="H9" s="5" t="s">
        <v>594</v>
      </c>
    </row>
    <row r="10" customFormat="false" ht="18" hidden="false" customHeight="true" outlineLevel="0" collapsed="false">
      <c r="A10" s="11" t="s">
        <v>595</v>
      </c>
      <c r="B10" s="24" t="n">
        <v>0.5</v>
      </c>
      <c r="C10" s="24" t="n">
        <v>3</v>
      </c>
      <c r="D10" s="14" t="n">
        <v>0.1</v>
      </c>
      <c r="E10" s="25" t="n">
        <f aca="false">B10*D10*$B$17</f>
        <v>0.0795833333333333</v>
      </c>
      <c r="F10" s="19" t="n">
        <v>140</v>
      </c>
      <c r="G10" s="19" t="n">
        <v>76</v>
      </c>
      <c r="H10" s="5" t="s">
        <v>552</v>
      </c>
    </row>
    <row r="11" customFormat="false" ht="18" hidden="false" customHeight="true" outlineLevel="0" collapsed="false">
      <c r="A11" s="11" t="s">
        <v>596</v>
      </c>
      <c r="B11" s="24" t="n">
        <v>2.5</v>
      </c>
      <c r="C11" s="24" t="n">
        <v>3</v>
      </c>
      <c r="D11" s="14" t="n">
        <v>0.05</v>
      </c>
      <c r="E11" s="25" t="n">
        <f aca="false">B11*D11*$B$17</f>
        <v>0.198958333333333</v>
      </c>
      <c r="F11" s="19" t="n">
        <v>70</v>
      </c>
      <c r="G11" s="19" t="n">
        <v>36</v>
      </c>
      <c r="H11" s="5" t="s">
        <v>597</v>
      </c>
    </row>
    <row r="12" customFormat="false" ht="18" hidden="false" customHeight="true" outlineLevel="0" collapsed="false">
      <c r="A12" s="16" t="s">
        <v>598</v>
      </c>
      <c r="B12" s="21" t="s">
        <v>216</v>
      </c>
      <c r="C12" s="21" t="s">
        <v>216</v>
      </c>
      <c r="D12" s="21" t="s">
        <v>216</v>
      </c>
      <c r="E12" s="18" t="n">
        <f aca="false">SUM(E5:E11)</f>
        <v>1.69910416666667</v>
      </c>
      <c r="F12" s="20" t="n">
        <f aca="false">SUM(F5:F11)</f>
        <v>758</v>
      </c>
      <c r="G12" s="20" t="n">
        <f aca="false">SUM(G5:G11)</f>
        <v>637</v>
      </c>
      <c r="H12" s="21" t="s">
        <v>216</v>
      </c>
    </row>
    <row r="14" customFormat="false" ht="18" hidden="false" customHeight="true" outlineLevel="0" collapsed="false">
      <c r="A14" s="10" t="s">
        <v>599</v>
      </c>
      <c r="B14" s="10"/>
      <c r="C14" s="10"/>
      <c r="D14" s="10"/>
      <c r="E14" s="10"/>
      <c r="F14" s="10"/>
      <c r="G14" s="10"/>
      <c r="H14" s="10"/>
    </row>
    <row r="15" customFormat="false" ht="18" hidden="false" customHeight="true" outlineLevel="0" collapsed="false">
      <c r="A15" s="3" t="s">
        <v>600</v>
      </c>
      <c r="B15" s="3" t="s">
        <v>601</v>
      </c>
      <c r="C15" s="3" t="s">
        <v>197</v>
      </c>
      <c r="D15" s="26" t="s">
        <v>602</v>
      </c>
      <c r="E15" s="26"/>
      <c r="F15" s="26"/>
      <c r="G15" s="26"/>
      <c r="H15" s="26"/>
    </row>
    <row r="16" customFormat="false" ht="18" hidden="false" customHeight="true" outlineLevel="0" collapsed="false">
      <c r="A16" s="11" t="s">
        <v>603</v>
      </c>
      <c r="B16" s="27" t="n">
        <v>95.5</v>
      </c>
      <c r="C16" s="6" t="s">
        <v>604</v>
      </c>
      <c r="D16" s="5" t="s">
        <v>605</v>
      </c>
      <c r="E16" s="5"/>
      <c r="F16" s="5"/>
      <c r="G16" s="5"/>
      <c r="H16" s="5"/>
    </row>
    <row r="17" customFormat="false" ht="18" hidden="false" customHeight="true" outlineLevel="0" collapsed="false">
      <c r="A17" s="11" t="s">
        <v>606</v>
      </c>
      <c r="B17" s="25" t="n">
        <f aca="false">B16/60</f>
        <v>1.59166666666667</v>
      </c>
      <c r="C17" s="6" t="s">
        <v>607</v>
      </c>
      <c r="D17" s="5" t="s">
        <v>608</v>
      </c>
      <c r="E17" s="5"/>
      <c r="F17" s="5"/>
      <c r="G17" s="5"/>
      <c r="H17" s="5"/>
    </row>
    <row r="18" customFormat="false" ht="31.5" hidden="false" customHeight="true" outlineLevel="0" collapsed="false">
      <c r="A18" s="11" t="s">
        <v>609</v>
      </c>
      <c r="B18" s="28" t="n">
        <f aca="false">SUMPRODUCT(B5:B11,D5:D11)</f>
        <v>1.0675</v>
      </c>
      <c r="C18" s="6" t="s">
        <v>280</v>
      </c>
      <c r="D18" s="5" t="s">
        <v>610</v>
      </c>
      <c r="E18" s="5"/>
      <c r="F18" s="5"/>
      <c r="G18" s="5"/>
      <c r="H18" s="5"/>
    </row>
    <row r="19" customFormat="false" ht="31.5" hidden="false" customHeight="true" outlineLevel="0" collapsed="false">
      <c r="A19" s="11" t="s">
        <v>611</v>
      </c>
      <c r="B19" s="28" t="n">
        <f aca="false">E12</f>
        <v>1.69910416666667</v>
      </c>
      <c r="C19" s="6" t="s">
        <v>612</v>
      </c>
      <c r="D19" s="5" t="s">
        <v>613</v>
      </c>
      <c r="E19" s="5"/>
      <c r="F19" s="5"/>
      <c r="G19" s="5"/>
      <c r="H19" s="5"/>
    </row>
    <row r="20" customFormat="false" ht="31.5" hidden="false" customHeight="true" outlineLevel="0" collapsed="false">
      <c r="A20" s="11" t="s">
        <v>614</v>
      </c>
      <c r="B20" s="27" t="n">
        <v>2.5</v>
      </c>
      <c r="C20" s="6" t="s">
        <v>280</v>
      </c>
      <c r="D20" s="5" t="s">
        <v>615</v>
      </c>
      <c r="E20" s="5"/>
      <c r="F20" s="5"/>
      <c r="G20" s="5"/>
      <c r="H20" s="5"/>
    </row>
    <row r="21" customFormat="false" ht="18" hidden="false" customHeight="true" outlineLevel="0" collapsed="false">
      <c r="A21" s="11" t="s">
        <v>616</v>
      </c>
      <c r="B21" s="24" t="n">
        <v>0.62</v>
      </c>
      <c r="C21" s="6" t="s">
        <v>216</v>
      </c>
      <c r="D21" s="5" t="s">
        <v>617</v>
      </c>
      <c r="E21" s="5"/>
      <c r="F21" s="5"/>
      <c r="G21" s="5"/>
      <c r="H21" s="5"/>
    </row>
    <row r="22" customFormat="false" ht="18" hidden="false" customHeight="true" outlineLevel="0" collapsed="false">
      <c r="A22" s="11" t="s">
        <v>618</v>
      </c>
      <c r="B22" s="14" t="n">
        <v>0.85</v>
      </c>
      <c r="C22" s="6" t="s">
        <v>216</v>
      </c>
      <c r="D22" s="5" t="s">
        <v>619</v>
      </c>
      <c r="E22" s="5"/>
      <c r="F22" s="5"/>
      <c r="G22" s="5"/>
      <c r="H22" s="5"/>
    </row>
    <row r="23" customFormat="false" ht="18" hidden="false" customHeight="true" outlineLevel="0" collapsed="false">
      <c r="A23" s="11" t="s">
        <v>620</v>
      </c>
      <c r="B23" s="28" t="n">
        <f aca="false">B20*B21*B17*B22</f>
        <v>2.09702083333333</v>
      </c>
      <c r="C23" s="6" t="s">
        <v>612</v>
      </c>
      <c r="D23" s="5" t="s">
        <v>621</v>
      </c>
      <c r="E23" s="5"/>
      <c r="F23" s="5"/>
      <c r="G23" s="5"/>
      <c r="H23" s="5"/>
    </row>
    <row r="24" customFormat="false" ht="18" hidden="false" customHeight="true" outlineLevel="0" collapsed="false">
      <c r="A24" s="11" t="s">
        <v>622</v>
      </c>
      <c r="B24" s="28" t="n">
        <f aca="false">B23-B19</f>
        <v>0.397916666666667</v>
      </c>
      <c r="C24" s="6" t="s">
        <v>612</v>
      </c>
      <c r="D24" s="5" t="s">
        <v>623</v>
      </c>
      <c r="E24" s="5"/>
      <c r="F24" s="5"/>
      <c r="G24" s="5"/>
      <c r="H24" s="5"/>
    </row>
    <row r="25" customFormat="false" ht="18" hidden="false" customHeight="true" outlineLevel="0" collapsed="false">
      <c r="A25" s="11" t="s">
        <v>624</v>
      </c>
      <c r="B25" s="29" t="n">
        <f aca="false">B24/B19</f>
        <v>0.234192037470726</v>
      </c>
      <c r="C25" s="6" t="s">
        <v>336</v>
      </c>
      <c r="D25" s="5" t="s">
        <v>625</v>
      </c>
      <c r="E25" s="5"/>
      <c r="F25" s="5"/>
      <c r="G25" s="5"/>
      <c r="H25" s="5"/>
    </row>
    <row r="26" customFormat="false" ht="18" hidden="false" customHeight="true" outlineLevel="0" collapsed="false">
      <c r="A26" s="11" t="s">
        <v>626</v>
      </c>
      <c r="B26" s="21" t="str">
        <f aca="false">IF(B24&gt;0,"Cumple","No cumple")</f>
        <v>Cumple</v>
      </c>
      <c r="C26" s="6" t="s">
        <v>216</v>
      </c>
      <c r="D26" s="5" t="s">
        <v>627</v>
      </c>
      <c r="E26" s="5"/>
      <c r="F26" s="5"/>
      <c r="G26" s="5"/>
      <c r="H26" s="5"/>
    </row>
    <row r="28" customFormat="false" ht="18" hidden="false" customHeight="true" outlineLevel="0" collapsed="false">
      <c r="A28" s="10" t="s">
        <v>628</v>
      </c>
      <c r="B28" s="10"/>
      <c r="C28" s="10"/>
      <c r="D28" s="10"/>
      <c r="E28" s="10"/>
      <c r="F28" s="10"/>
      <c r="G28" s="10"/>
      <c r="H28" s="10"/>
    </row>
    <row r="29" customFormat="false" ht="18" hidden="false" customHeight="true" outlineLevel="0" collapsed="false">
      <c r="A29" s="3" t="s">
        <v>600</v>
      </c>
      <c r="B29" s="3" t="s">
        <v>601</v>
      </c>
      <c r="C29" s="3" t="s">
        <v>197</v>
      </c>
      <c r="D29" s="26" t="s">
        <v>602</v>
      </c>
      <c r="E29" s="26"/>
      <c r="F29" s="26"/>
      <c r="G29" s="26"/>
      <c r="H29" s="26"/>
    </row>
    <row r="30" customFormat="false" ht="18" hidden="false" customHeight="true" outlineLevel="0" collapsed="false">
      <c r="A30" s="11" t="s">
        <v>629</v>
      </c>
      <c r="B30" s="28" t="n">
        <f aca="false">1-B21</f>
        <v>0.38</v>
      </c>
      <c r="C30" s="6" t="s">
        <v>216</v>
      </c>
      <c r="D30" s="5" t="s">
        <v>630</v>
      </c>
      <c r="E30" s="5"/>
      <c r="F30" s="5"/>
      <c r="G30" s="5"/>
      <c r="H30" s="5"/>
    </row>
    <row r="31" customFormat="false" ht="31.5" hidden="false" customHeight="true" outlineLevel="0" collapsed="false">
      <c r="A31" s="11" t="s">
        <v>631</v>
      </c>
      <c r="B31" s="25" t="n">
        <f aca="false">B30*B17</f>
        <v>0.604833333333333</v>
      </c>
      <c r="C31" s="6" t="s">
        <v>607</v>
      </c>
      <c r="D31" s="5" t="s">
        <v>632</v>
      </c>
      <c r="E31" s="5"/>
      <c r="F31" s="5"/>
      <c r="G31" s="5"/>
      <c r="H31" s="5"/>
    </row>
    <row r="32" customFormat="false" ht="31.5" hidden="false" customHeight="true" outlineLevel="0" collapsed="false">
      <c r="A32" s="11" t="s">
        <v>633</v>
      </c>
      <c r="B32" s="28" t="n">
        <f aca="false">B18*B31</f>
        <v>0.645659583333333</v>
      </c>
      <c r="C32" s="6" t="s">
        <v>271</v>
      </c>
      <c r="D32" s="5" t="s">
        <v>634</v>
      </c>
      <c r="E32" s="5"/>
      <c r="F32" s="5"/>
      <c r="G32" s="5"/>
      <c r="H32" s="5"/>
    </row>
    <row r="33" customFormat="false" ht="18" hidden="false" customHeight="true" outlineLevel="0" collapsed="false">
      <c r="A33" s="11" t="s">
        <v>635</v>
      </c>
      <c r="B33" s="14" t="n">
        <v>0.8</v>
      </c>
      <c r="C33" s="6" t="s">
        <v>216</v>
      </c>
      <c r="D33" s="5" t="s">
        <v>636</v>
      </c>
      <c r="E33" s="5"/>
      <c r="F33" s="5"/>
      <c r="G33" s="5"/>
      <c r="H33" s="5"/>
    </row>
    <row r="34" customFormat="false" ht="18" hidden="false" customHeight="true" outlineLevel="0" collapsed="false">
      <c r="A34" s="11" t="s">
        <v>637</v>
      </c>
      <c r="B34" s="14" t="n">
        <v>0.9</v>
      </c>
      <c r="C34" s="6" t="s">
        <v>216</v>
      </c>
      <c r="D34" s="5" t="s">
        <v>636</v>
      </c>
      <c r="E34" s="5"/>
      <c r="F34" s="5"/>
      <c r="G34" s="5"/>
      <c r="H34" s="5"/>
    </row>
    <row r="35" customFormat="false" ht="31.5" hidden="false" customHeight="true" outlineLevel="0" collapsed="false">
      <c r="A35" s="11" t="s">
        <v>638</v>
      </c>
      <c r="B35" s="28" t="n">
        <f aca="false">B32/(B33*B34)</f>
        <v>0.896749421296296</v>
      </c>
      <c r="C35" s="6" t="s">
        <v>271</v>
      </c>
      <c r="D35" s="5" t="s">
        <v>639</v>
      </c>
      <c r="E35" s="5"/>
      <c r="F35" s="5"/>
      <c r="G35" s="5"/>
      <c r="H35" s="5"/>
    </row>
    <row r="36" customFormat="false" ht="18" hidden="false" customHeight="true" outlineLevel="0" collapsed="false">
      <c r="A36" s="11" t="s">
        <v>640</v>
      </c>
      <c r="B36" s="27" t="n">
        <v>10</v>
      </c>
      <c r="C36" s="6" t="s">
        <v>271</v>
      </c>
      <c r="D36" s="5" t="s">
        <v>641</v>
      </c>
      <c r="E36" s="5"/>
      <c r="F36" s="5"/>
      <c r="G36" s="5"/>
      <c r="H36" s="5"/>
    </row>
    <row r="37" customFormat="false" ht="31.5" hidden="false" customHeight="true" outlineLevel="0" collapsed="false">
      <c r="A37" s="11" t="s">
        <v>642</v>
      </c>
      <c r="B37" s="30" t="n">
        <f aca="false">B36/B35</f>
        <v>11.1513871796477</v>
      </c>
      <c r="C37" s="6" t="s">
        <v>643</v>
      </c>
      <c r="D37" s="5" t="s">
        <v>644</v>
      </c>
      <c r="E37" s="5"/>
      <c r="F37" s="5"/>
      <c r="G37" s="5"/>
      <c r="H37" s="5"/>
    </row>
  </sheetData>
  <mergeCells count="25">
    <mergeCell ref="A1:H1"/>
    <mergeCell ref="A2:H2"/>
    <mergeCell ref="A14:H14"/>
    <mergeCell ref="D15:H15"/>
    <mergeCell ref="D16:H16"/>
    <mergeCell ref="D17:H17"/>
    <mergeCell ref="D18:H18"/>
    <mergeCell ref="D19:H19"/>
    <mergeCell ref="D20:H20"/>
    <mergeCell ref="D21:H21"/>
    <mergeCell ref="D22:H22"/>
    <mergeCell ref="D23:H23"/>
    <mergeCell ref="D24:H24"/>
    <mergeCell ref="D25:H25"/>
    <mergeCell ref="D26:H26"/>
    <mergeCell ref="A28:H28"/>
    <mergeCell ref="D29:H29"/>
    <mergeCell ref="D30:H30"/>
    <mergeCell ref="D31:H31"/>
    <mergeCell ref="D32:H32"/>
    <mergeCell ref="D33:H33"/>
    <mergeCell ref="D34:H34"/>
    <mergeCell ref="D35:H35"/>
    <mergeCell ref="D36:H36"/>
    <mergeCell ref="D37:H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4" min="2" style="0" width="20"/>
    <col collapsed="false" customWidth="true" hidden="false" outlineLevel="0" max="6" min="5" style="0" width="24"/>
  </cols>
  <sheetData>
    <row r="1" customFormat="false" ht="27.75" hidden="false" customHeight="true" outlineLevel="0" collapsed="false">
      <c r="A1" s="1" t="s">
        <v>645</v>
      </c>
      <c r="B1" s="1"/>
      <c r="C1" s="1"/>
      <c r="D1" s="1"/>
      <c r="E1" s="1"/>
      <c r="F1" s="1"/>
    </row>
    <row r="2" customFormat="false" ht="30" hidden="false" customHeight="true" outlineLevel="0" collapsed="false">
      <c r="A2" s="2" t="s">
        <v>646</v>
      </c>
      <c r="B2" s="2"/>
      <c r="C2" s="2"/>
      <c r="D2" s="2"/>
      <c r="E2" s="2"/>
      <c r="F2" s="2"/>
    </row>
    <row r="4" customFormat="false" ht="31.5" hidden="false" customHeight="true" outlineLevel="0" collapsed="false">
      <c r="A4" s="3" t="s">
        <v>647</v>
      </c>
      <c r="B4" s="3" t="s">
        <v>648</v>
      </c>
      <c r="C4" s="3" t="s">
        <v>649</v>
      </c>
      <c r="D4" s="3" t="s">
        <v>650</v>
      </c>
      <c r="E4" s="3" t="s">
        <v>651</v>
      </c>
      <c r="F4" s="3" t="s">
        <v>652</v>
      </c>
    </row>
    <row r="5" customFormat="false" ht="18" hidden="false" customHeight="true" outlineLevel="0" collapsed="false">
      <c r="A5" s="11" t="s">
        <v>592</v>
      </c>
      <c r="B5" s="31" t="n">
        <f aca="false">B20</f>
        <v>66.84672</v>
      </c>
      <c r="C5" s="32" t="n">
        <f aca="false">B15</f>
        <v>10</v>
      </c>
      <c r="D5" s="33" t="n">
        <f aca="false">B21</f>
        <v>668.4672</v>
      </c>
      <c r="E5" s="34" t="n">
        <f aca="false">B22</f>
        <v>0.6684672</v>
      </c>
      <c r="F5" s="35" t="n">
        <f aca="false">B24</f>
        <v>5.57056</v>
      </c>
    </row>
    <row r="6" customFormat="false" ht="18" hidden="false" customHeight="true" outlineLevel="0" collapsed="false">
      <c r="A6" s="11" t="s">
        <v>653</v>
      </c>
      <c r="B6" s="6" t="s">
        <v>654</v>
      </c>
      <c r="C6" s="6" t="s">
        <v>655</v>
      </c>
      <c r="D6" s="6" t="s">
        <v>656</v>
      </c>
      <c r="E6" s="6" t="s">
        <v>657</v>
      </c>
      <c r="F6" s="6" t="s">
        <v>499</v>
      </c>
    </row>
    <row r="7" customFormat="false" ht="18" hidden="false" customHeight="true" outlineLevel="0" collapsed="false">
      <c r="A7" s="11" t="s">
        <v>658</v>
      </c>
      <c r="B7" s="6" t="s">
        <v>659</v>
      </c>
      <c r="C7" s="6" t="s">
        <v>660</v>
      </c>
      <c r="D7" s="6" t="s">
        <v>661</v>
      </c>
      <c r="E7" s="6" t="s">
        <v>657</v>
      </c>
      <c r="F7" s="6" t="s">
        <v>499</v>
      </c>
    </row>
    <row r="9" customFormat="false" ht="18" hidden="false" customHeight="true" outlineLevel="0" collapsed="false">
      <c r="A9" s="10" t="s">
        <v>662</v>
      </c>
      <c r="B9" s="10"/>
      <c r="C9" s="10"/>
      <c r="D9" s="10"/>
      <c r="E9" s="10"/>
      <c r="F9" s="10"/>
    </row>
    <row r="10" customFormat="false" ht="18" hidden="false" customHeight="true" outlineLevel="0" collapsed="false">
      <c r="A10" s="3" t="s">
        <v>600</v>
      </c>
      <c r="B10" s="3" t="s">
        <v>601</v>
      </c>
      <c r="C10" s="3" t="s">
        <v>197</v>
      </c>
      <c r="D10" s="26" t="s">
        <v>602</v>
      </c>
      <c r="E10" s="26"/>
      <c r="F10" s="26"/>
    </row>
    <row r="11" customFormat="false" ht="18" hidden="false" customHeight="true" outlineLevel="0" collapsed="false">
      <c r="A11" s="11" t="s">
        <v>663</v>
      </c>
      <c r="B11" s="19" t="n">
        <v>2048</v>
      </c>
      <c r="C11" s="6" t="s">
        <v>664</v>
      </c>
      <c r="D11" s="5" t="s">
        <v>665</v>
      </c>
      <c r="E11" s="5"/>
      <c r="F11" s="5"/>
    </row>
    <row r="12" customFormat="false" ht="18" hidden="false" customHeight="true" outlineLevel="0" collapsed="false">
      <c r="A12" s="11" t="s">
        <v>666</v>
      </c>
      <c r="B12" s="19" t="n">
        <v>1088</v>
      </c>
      <c r="C12" s="6" t="s">
        <v>664</v>
      </c>
      <c r="D12" s="5" t="s">
        <v>665</v>
      </c>
      <c r="E12" s="5"/>
      <c r="F12" s="5"/>
    </row>
    <row r="13" customFormat="false" ht="18" hidden="false" customHeight="true" outlineLevel="0" collapsed="false">
      <c r="A13" s="11" t="s">
        <v>667</v>
      </c>
      <c r="B13" s="36" t="n">
        <v>15</v>
      </c>
      <c r="C13" s="6" t="s">
        <v>216</v>
      </c>
      <c r="D13" s="5" t="s">
        <v>668</v>
      </c>
      <c r="E13" s="5"/>
      <c r="F13" s="5"/>
    </row>
    <row r="14" customFormat="false" ht="18" hidden="false" customHeight="true" outlineLevel="0" collapsed="false">
      <c r="A14" s="11" t="s">
        <v>669</v>
      </c>
      <c r="B14" s="36" t="n">
        <v>2</v>
      </c>
      <c r="C14" s="6" t="s">
        <v>670</v>
      </c>
      <c r="D14" s="5" t="s">
        <v>671</v>
      </c>
      <c r="E14" s="5"/>
      <c r="F14" s="5"/>
    </row>
    <row r="15" customFormat="false" ht="18" hidden="false" customHeight="true" outlineLevel="0" collapsed="false">
      <c r="A15" s="11" t="s">
        <v>672</v>
      </c>
      <c r="B15" s="36" t="n">
        <v>10</v>
      </c>
      <c r="C15" s="6" t="s">
        <v>216</v>
      </c>
      <c r="D15" s="5" t="s">
        <v>673</v>
      </c>
      <c r="E15" s="5"/>
      <c r="F15" s="5"/>
    </row>
    <row r="16" customFormat="false" ht="18" hidden="false" customHeight="true" outlineLevel="0" collapsed="false">
      <c r="A16" s="11" t="s">
        <v>674</v>
      </c>
      <c r="B16" s="27" t="n">
        <v>2</v>
      </c>
      <c r="C16" s="6" t="s">
        <v>675</v>
      </c>
      <c r="D16" s="5" t="s">
        <v>676</v>
      </c>
      <c r="E16" s="5"/>
      <c r="F16" s="5"/>
    </row>
    <row r="17" customFormat="false" ht="31.5" hidden="false" customHeight="true" outlineLevel="0" collapsed="false">
      <c r="A17" s="11" t="s">
        <v>677</v>
      </c>
      <c r="B17" s="36" t="n">
        <v>8</v>
      </c>
      <c r="C17" s="6" t="s">
        <v>604</v>
      </c>
      <c r="D17" s="5" t="s">
        <v>678</v>
      </c>
      <c r="E17" s="5"/>
      <c r="F17" s="5"/>
    </row>
    <row r="18" customFormat="false" ht="18" hidden="false" customHeight="true" outlineLevel="0" collapsed="false">
      <c r="A18" s="11" t="s">
        <v>679</v>
      </c>
      <c r="B18" s="27" t="n">
        <v>8</v>
      </c>
      <c r="C18" s="6" t="s">
        <v>680</v>
      </c>
      <c r="D18" s="5" t="s">
        <v>681</v>
      </c>
      <c r="E18" s="5"/>
      <c r="F18" s="5"/>
    </row>
    <row r="19" customFormat="false" ht="18" hidden="false" customHeight="true" outlineLevel="0" collapsed="false">
      <c r="A19" s="11" t="s">
        <v>682</v>
      </c>
      <c r="B19" s="28" t="n">
        <f aca="false">B11*B12*B14/1000000</f>
        <v>4.456448</v>
      </c>
      <c r="C19" s="6" t="s">
        <v>229</v>
      </c>
      <c r="D19" s="5" t="s">
        <v>683</v>
      </c>
      <c r="E19" s="5"/>
      <c r="F19" s="5"/>
    </row>
    <row r="20" customFormat="false" ht="18" hidden="false" customHeight="true" outlineLevel="0" collapsed="false">
      <c r="A20" s="11" t="s">
        <v>684</v>
      </c>
      <c r="B20" s="28" t="n">
        <f aca="false">B19*B13</f>
        <v>66.84672</v>
      </c>
      <c r="C20" s="6" t="s">
        <v>229</v>
      </c>
      <c r="D20" s="5" t="s">
        <v>685</v>
      </c>
      <c r="E20" s="5"/>
      <c r="F20" s="5"/>
    </row>
    <row r="21" customFormat="false" ht="31.5" hidden="false" customHeight="true" outlineLevel="0" collapsed="false">
      <c r="A21" s="11" t="s">
        <v>686</v>
      </c>
      <c r="B21" s="30" t="n">
        <f aca="false">B15*B20</f>
        <v>668.4672</v>
      </c>
      <c r="C21" s="6" t="s">
        <v>229</v>
      </c>
      <c r="D21" s="5" t="s">
        <v>687</v>
      </c>
      <c r="E21" s="5"/>
      <c r="F21" s="5"/>
    </row>
    <row r="22" customFormat="false" ht="18" hidden="false" customHeight="true" outlineLevel="0" collapsed="false">
      <c r="A22" s="11" t="s">
        <v>651</v>
      </c>
      <c r="B22" s="28" t="n">
        <f aca="false">B21/1000</f>
        <v>0.6684672</v>
      </c>
      <c r="C22" s="6" t="s">
        <v>233</v>
      </c>
      <c r="D22" s="5" t="s">
        <v>688</v>
      </c>
      <c r="E22" s="5"/>
      <c r="F22" s="5"/>
    </row>
    <row r="23" customFormat="false" ht="18" hidden="false" customHeight="true" outlineLevel="0" collapsed="false">
      <c r="A23" s="11" t="s">
        <v>689</v>
      </c>
      <c r="B23" s="28" t="n">
        <f aca="false">B21/B16</f>
        <v>334.2336</v>
      </c>
      <c r="C23" s="6" t="s">
        <v>229</v>
      </c>
      <c r="D23" s="5" t="s">
        <v>690</v>
      </c>
      <c r="E23" s="5"/>
      <c r="F23" s="5"/>
    </row>
    <row r="24" customFormat="false" ht="18" hidden="false" customHeight="true" outlineLevel="0" collapsed="false">
      <c r="A24" s="11" t="s">
        <v>691</v>
      </c>
      <c r="B24" s="28" t="n">
        <f aca="false">B23*8/(B17*60)</f>
        <v>5.57056</v>
      </c>
      <c r="C24" s="6" t="s">
        <v>680</v>
      </c>
      <c r="D24" s="5" t="s">
        <v>692</v>
      </c>
      <c r="E24" s="5"/>
      <c r="F24" s="5"/>
    </row>
    <row r="25" customFormat="false" ht="18" hidden="false" customHeight="true" outlineLevel="0" collapsed="false">
      <c r="A25" s="11" t="s">
        <v>693</v>
      </c>
      <c r="B25" s="21" t="str">
        <f aca="false">IF(B24&lt;=B18,"Cumple","No cumple")</f>
        <v>Cumple</v>
      </c>
      <c r="C25" s="6" t="s">
        <v>216</v>
      </c>
      <c r="D25" s="5" t="s">
        <v>694</v>
      </c>
      <c r="E25" s="5"/>
      <c r="F25" s="5"/>
    </row>
    <row r="26" customFormat="false" ht="31.5" hidden="false" customHeight="true" outlineLevel="0" collapsed="false">
      <c r="A26" s="11" t="s">
        <v>695</v>
      </c>
      <c r="B26" s="30" t="n">
        <f aca="false">B20*8/B18</f>
        <v>66.84672</v>
      </c>
      <c r="C26" s="6" t="s">
        <v>696</v>
      </c>
      <c r="D26" s="5" t="s">
        <v>697</v>
      </c>
      <c r="E26" s="5"/>
      <c r="F26" s="5"/>
    </row>
    <row r="27" customFormat="false" ht="31.5" hidden="false" customHeight="true" outlineLevel="0" collapsed="false">
      <c r="A27" s="11" t="s">
        <v>698</v>
      </c>
      <c r="B27" s="30" t="n">
        <f aca="false">B26/B16</f>
        <v>33.42336</v>
      </c>
      <c r="C27" s="6" t="s">
        <v>696</v>
      </c>
      <c r="D27" s="5" t="s">
        <v>699</v>
      </c>
      <c r="E27" s="5"/>
      <c r="F27" s="5"/>
    </row>
  </sheetData>
  <mergeCells count="21">
    <mergeCell ref="A1:F1"/>
    <mergeCell ref="A2:F2"/>
    <mergeCell ref="A9:F9"/>
    <mergeCell ref="D10:F10"/>
    <mergeCell ref="D11:F11"/>
    <mergeCell ref="D12:F12"/>
    <mergeCell ref="D13:F13"/>
    <mergeCell ref="D14:F14"/>
    <mergeCell ref="D15:F15"/>
    <mergeCell ref="D16:F16"/>
    <mergeCell ref="D17:F17"/>
    <mergeCell ref="D18:F18"/>
    <mergeCell ref="D19:F19"/>
    <mergeCell ref="D20:F20"/>
    <mergeCell ref="D21:F21"/>
    <mergeCell ref="D22:F22"/>
    <mergeCell ref="D23:F23"/>
    <mergeCell ref="D24:F24"/>
    <mergeCell ref="D25:F25"/>
    <mergeCell ref="D26:F26"/>
    <mergeCell ref="D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12"/>
    <col collapsed="false" customWidth="true" hidden="false" outlineLevel="0" max="4" min="4" style="0" width="80"/>
  </cols>
  <sheetData>
    <row r="1" customFormat="false" ht="27.75" hidden="false" customHeight="true" outlineLevel="0" collapsed="false">
      <c r="A1" s="1" t="s">
        <v>700</v>
      </c>
      <c r="B1" s="1"/>
      <c r="C1" s="1"/>
      <c r="D1" s="1"/>
    </row>
    <row r="2" customFormat="false" ht="30" hidden="false" customHeight="true" outlineLevel="0" collapsed="false">
      <c r="A2" s="2" t="s">
        <v>701</v>
      </c>
      <c r="B2" s="2"/>
      <c r="C2" s="2"/>
      <c r="D2" s="2"/>
    </row>
    <row r="4" customFormat="false" ht="18" hidden="false" customHeight="true" outlineLevel="0" collapsed="false">
      <c r="A4" s="3" t="s">
        <v>702</v>
      </c>
      <c r="B4" s="3" t="s">
        <v>703</v>
      </c>
      <c r="C4" s="3" t="s">
        <v>704</v>
      </c>
      <c r="D4" s="3" t="s">
        <v>705</v>
      </c>
    </row>
    <row r="5" customFormat="false" ht="58.5" hidden="false" customHeight="true" outlineLevel="0" collapsed="false">
      <c r="A5" s="5" t="s">
        <v>706</v>
      </c>
      <c r="B5" s="15" t="s">
        <v>94</v>
      </c>
      <c r="C5" s="15" t="s">
        <v>707</v>
      </c>
      <c r="D5" s="5" t="s">
        <v>708</v>
      </c>
    </row>
    <row r="6" customFormat="false" ht="58.5" hidden="false" customHeight="true" outlineLevel="0" collapsed="false">
      <c r="A6" s="5" t="s">
        <v>709</v>
      </c>
      <c r="B6" s="15" t="s">
        <v>96</v>
      </c>
      <c r="C6" s="15" t="s">
        <v>710</v>
      </c>
      <c r="D6" s="5" t="s">
        <v>711</v>
      </c>
    </row>
    <row r="7" customFormat="false" ht="58.5" hidden="false" customHeight="true" outlineLevel="0" collapsed="false">
      <c r="A7" s="5" t="s">
        <v>712</v>
      </c>
      <c r="B7" s="15" t="s">
        <v>92</v>
      </c>
      <c r="C7" s="15" t="s">
        <v>713</v>
      </c>
      <c r="D7" s="5" t="s">
        <v>714</v>
      </c>
    </row>
    <row r="8" customFormat="false" ht="58.5" hidden="false" customHeight="true" outlineLevel="0" collapsed="false">
      <c r="A8" s="5" t="s">
        <v>715</v>
      </c>
      <c r="B8" s="15" t="s">
        <v>94</v>
      </c>
      <c r="C8" s="15" t="s">
        <v>707</v>
      </c>
      <c r="D8" s="5" t="s">
        <v>716</v>
      </c>
    </row>
    <row r="9" customFormat="false" ht="58.5" hidden="false" customHeight="true" outlineLevel="0" collapsed="false">
      <c r="A9" s="5" t="s">
        <v>717</v>
      </c>
      <c r="B9" s="15" t="s">
        <v>96</v>
      </c>
      <c r="C9" s="15" t="s">
        <v>707</v>
      </c>
      <c r="D9" s="5" t="s">
        <v>718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38"/>
    <col collapsed="false" customWidth="true" hidden="false" outlineLevel="0" max="4" min="4" style="0" width="46"/>
    <col collapsed="false" customWidth="true" hidden="false" outlineLevel="0" max="5" min="5" style="0" width="16"/>
  </cols>
  <sheetData>
    <row r="1" customFormat="false" ht="27.75" hidden="false" customHeight="true" outlineLevel="0" collapsed="false">
      <c r="A1" s="1" t="s">
        <v>719</v>
      </c>
      <c r="B1" s="1"/>
      <c r="C1" s="1"/>
      <c r="D1" s="1"/>
      <c r="E1" s="1"/>
    </row>
    <row r="2" customFormat="false" ht="30" hidden="false" customHeight="true" outlineLevel="0" collapsed="false">
      <c r="A2" s="2" t="s">
        <v>720</v>
      </c>
      <c r="B2" s="2"/>
      <c r="C2" s="2"/>
      <c r="D2" s="2"/>
      <c r="E2" s="2"/>
    </row>
    <row r="4" customFormat="false" ht="18" hidden="false" customHeight="true" outlineLevel="0" collapsed="false">
      <c r="A4" s="3" t="s">
        <v>101</v>
      </c>
      <c r="B4" s="3" t="s">
        <v>721</v>
      </c>
      <c r="C4" s="3" t="s">
        <v>722</v>
      </c>
      <c r="D4" s="3" t="s">
        <v>723</v>
      </c>
      <c r="E4" s="3" t="s">
        <v>724</v>
      </c>
    </row>
    <row r="5" customFormat="false" ht="18" hidden="false" customHeight="true" outlineLevel="0" collapsed="false">
      <c r="A5" s="11" t="s">
        <v>104</v>
      </c>
      <c r="B5" s="5" t="s">
        <v>725</v>
      </c>
      <c r="C5" s="5" t="s">
        <v>726</v>
      </c>
      <c r="D5" s="5" t="s">
        <v>727</v>
      </c>
      <c r="E5" s="5" t="s">
        <v>212</v>
      </c>
    </row>
    <row r="6" customFormat="false" ht="18" hidden="false" customHeight="true" outlineLevel="0" collapsed="false">
      <c r="A6" s="11" t="s">
        <v>109</v>
      </c>
      <c r="B6" s="5" t="s">
        <v>728</v>
      </c>
      <c r="C6" s="5" t="s">
        <v>729</v>
      </c>
      <c r="D6" s="5" t="s">
        <v>49</v>
      </c>
      <c r="E6" s="5" t="s">
        <v>205</v>
      </c>
    </row>
    <row r="7" customFormat="false" ht="18" hidden="false" customHeight="true" outlineLevel="0" collapsed="false">
      <c r="A7" s="11" t="s">
        <v>113</v>
      </c>
      <c r="B7" s="5" t="s">
        <v>730</v>
      </c>
      <c r="C7" s="5" t="s">
        <v>731</v>
      </c>
      <c r="D7" s="5" t="s">
        <v>732</v>
      </c>
      <c r="E7" s="5" t="s">
        <v>205</v>
      </c>
    </row>
    <row r="8" customFormat="false" ht="18" hidden="false" customHeight="true" outlineLevel="0" collapsed="false">
      <c r="A8" s="11" t="s">
        <v>117</v>
      </c>
      <c r="B8" s="5" t="s">
        <v>244</v>
      </c>
      <c r="C8" s="5" t="s">
        <v>733</v>
      </c>
      <c r="D8" s="5" t="s">
        <v>37</v>
      </c>
      <c r="E8" s="5" t="s">
        <v>205</v>
      </c>
    </row>
    <row r="9" customFormat="false" ht="18" hidden="false" customHeight="true" outlineLevel="0" collapsed="false">
      <c r="A9" s="11" t="s">
        <v>121</v>
      </c>
      <c r="B9" s="5" t="s">
        <v>252</v>
      </c>
      <c r="C9" s="5" t="s">
        <v>734</v>
      </c>
      <c r="D9" s="5" t="s">
        <v>735</v>
      </c>
      <c r="E9" s="5" t="s">
        <v>256</v>
      </c>
    </row>
    <row r="10" customFormat="false" ht="18" hidden="false" customHeight="true" outlineLevel="0" collapsed="false">
      <c r="A10" s="11" t="s">
        <v>125</v>
      </c>
      <c r="B10" s="5" t="s">
        <v>257</v>
      </c>
      <c r="C10" s="5" t="s">
        <v>736</v>
      </c>
      <c r="D10" s="5" t="s">
        <v>737</v>
      </c>
      <c r="E10" s="5" t="s">
        <v>256</v>
      </c>
    </row>
    <row r="11" customFormat="false" ht="18" hidden="false" customHeight="true" outlineLevel="0" collapsed="false">
      <c r="A11" s="11" t="s">
        <v>129</v>
      </c>
      <c r="B11" s="5" t="s">
        <v>738</v>
      </c>
      <c r="C11" s="5" t="s">
        <v>739</v>
      </c>
      <c r="D11" s="5" t="s">
        <v>46</v>
      </c>
      <c r="E11" s="5" t="s">
        <v>205</v>
      </c>
    </row>
    <row r="12" customFormat="false" ht="18" hidden="false" customHeight="true" outlineLevel="0" collapsed="false">
      <c r="A12" s="11" t="s">
        <v>133</v>
      </c>
      <c r="B12" s="5" t="s">
        <v>740</v>
      </c>
      <c r="C12" s="5" t="s">
        <v>741</v>
      </c>
      <c r="D12" s="5" t="s">
        <v>46</v>
      </c>
      <c r="E12" s="5" t="s">
        <v>205</v>
      </c>
    </row>
    <row r="13" customFormat="false" ht="18" hidden="false" customHeight="true" outlineLevel="0" collapsed="false">
      <c r="A13" s="11" t="s">
        <v>137</v>
      </c>
      <c r="B13" s="5" t="s">
        <v>200</v>
      </c>
      <c r="C13" s="5" t="s">
        <v>742</v>
      </c>
      <c r="D13" s="5" t="s">
        <v>743</v>
      </c>
      <c r="E13" s="5" t="s">
        <v>205</v>
      </c>
    </row>
    <row r="14" customFormat="false" ht="18" hidden="false" customHeight="true" outlineLevel="0" collapsed="false">
      <c r="A14" s="11" t="s">
        <v>142</v>
      </c>
      <c r="B14" s="5" t="s">
        <v>744</v>
      </c>
      <c r="C14" s="5" t="s">
        <v>587</v>
      </c>
      <c r="D14" s="5" t="s">
        <v>46</v>
      </c>
      <c r="E14" s="5" t="s">
        <v>212</v>
      </c>
    </row>
    <row r="15" customFormat="false" ht="18" hidden="false" customHeight="true" outlineLevel="0" collapsed="false">
      <c r="A15" s="11" t="s">
        <v>146</v>
      </c>
      <c r="B15" s="5" t="s">
        <v>745</v>
      </c>
      <c r="C15" s="5" t="s">
        <v>746</v>
      </c>
      <c r="D15" s="5" t="s">
        <v>747</v>
      </c>
      <c r="E15" s="5" t="s">
        <v>212</v>
      </c>
    </row>
    <row r="16" customFormat="false" ht="18" hidden="false" customHeight="true" outlineLevel="0" collapsed="false">
      <c r="A16" s="11" t="s">
        <v>150</v>
      </c>
      <c r="B16" s="5" t="s">
        <v>748</v>
      </c>
      <c r="C16" s="5" t="s">
        <v>749</v>
      </c>
      <c r="D16" s="5" t="s">
        <v>750</v>
      </c>
      <c r="E16" s="5" t="s">
        <v>205</v>
      </c>
    </row>
    <row r="17" customFormat="false" ht="18" hidden="false" customHeight="true" outlineLevel="0" collapsed="false">
      <c r="A17" s="11" t="s">
        <v>154</v>
      </c>
      <c r="B17" s="5" t="s">
        <v>289</v>
      </c>
      <c r="C17" s="5" t="s">
        <v>751</v>
      </c>
      <c r="D17" s="5" t="s">
        <v>752</v>
      </c>
      <c r="E17" s="5" t="s">
        <v>205</v>
      </c>
    </row>
    <row r="18" customFormat="false" ht="18" hidden="false" customHeight="true" outlineLevel="0" collapsed="false">
      <c r="A18" s="11" t="s">
        <v>159</v>
      </c>
      <c r="B18" s="5" t="s">
        <v>753</v>
      </c>
      <c r="C18" s="5" t="s">
        <v>754</v>
      </c>
      <c r="D18" s="5" t="s">
        <v>755</v>
      </c>
      <c r="E18" s="5" t="s">
        <v>212</v>
      </c>
    </row>
    <row r="19" customFormat="false" ht="31.5" hidden="false" customHeight="true" outlineLevel="0" collapsed="false">
      <c r="A19" s="11" t="s">
        <v>163</v>
      </c>
      <c r="B19" s="5" t="s">
        <v>297</v>
      </c>
      <c r="C19" s="5" t="s">
        <v>756</v>
      </c>
      <c r="D19" s="5" t="s">
        <v>757</v>
      </c>
      <c r="E19" s="5" t="s">
        <v>300</v>
      </c>
    </row>
    <row r="20" customFormat="false" ht="18" hidden="false" customHeight="true" outlineLevel="0" collapsed="false">
      <c r="A20" s="11" t="s">
        <v>167</v>
      </c>
      <c r="B20" s="5" t="s">
        <v>758</v>
      </c>
      <c r="C20" s="5" t="s">
        <v>759</v>
      </c>
      <c r="D20" s="5" t="s">
        <v>760</v>
      </c>
      <c r="E20" s="5" t="s">
        <v>212</v>
      </c>
    </row>
    <row r="21" customFormat="false" ht="18" hidden="false" customHeight="true" outlineLevel="0" collapsed="false">
      <c r="A21" s="11" t="s">
        <v>171</v>
      </c>
      <c r="B21" s="5" t="s">
        <v>305</v>
      </c>
      <c r="C21" s="5" t="s">
        <v>761</v>
      </c>
      <c r="D21" s="5" t="s">
        <v>762</v>
      </c>
      <c r="E21" s="5" t="s">
        <v>264</v>
      </c>
    </row>
    <row r="22" customFormat="false" ht="31.5" hidden="false" customHeight="true" outlineLevel="0" collapsed="false">
      <c r="A22" s="11" t="s">
        <v>175</v>
      </c>
      <c r="B22" s="5" t="s">
        <v>763</v>
      </c>
      <c r="C22" s="5" t="s">
        <v>764</v>
      </c>
      <c r="D22" s="5" t="s">
        <v>43</v>
      </c>
      <c r="E22" s="5" t="s">
        <v>205</v>
      </c>
    </row>
    <row r="23" customFormat="false" ht="18" hidden="false" customHeight="true" outlineLevel="0" collapsed="false">
      <c r="A23" s="11" t="s">
        <v>180</v>
      </c>
      <c r="B23" s="5" t="s">
        <v>328</v>
      </c>
      <c r="C23" s="5" t="s">
        <v>765</v>
      </c>
      <c r="D23" s="5" t="s">
        <v>52</v>
      </c>
      <c r="E23" s="5" t="s">
        <v>332</v>
      </c>
    </row>
    <row r="24" customFormat="false" ht="18" hidden="false" customHeight="true" outlineLevel="0" collapsed="false">
      <c r="A24" s="11" t="s">
        <v>184</v>
      </c>
      <c r="B24" s="5" t="s">
        <v>766</v>
      </c>
      <c r="C24" s="5" t="s">
        <v>767</v>
      </c>
      <c r="D24" s="5" t="s">
        <v>768</v>
      </c>
      <c r="E24" s="5" t="s">
        <v>264</v>
      </c>
    </row>
    <row r="25" customFormat="false" ht="18" hidden="false" customHeight="true" outlineLevel="0" collapsed="false">
      <c r="A25" s="11" t="s">
        <v>187</v>
      </c>
      <c r="B25" s="5" t="s">
        <v>244</v>
      </c>
      <c r="C25" s="5" t="s">
        <v>769</v>
      </c>
      <c r="D25" s="5" t="s">
        <v>770</v>
      </c>
      <c r="E25" s="5" t="s">
        <v>205</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2026-09-29T04:58:20Z</dcterms:created>
  <dc:creator>openpyxl</dc:creator>
  <dc:description/>
  <dc:language>en-US</dc:language>
  <cp:lastModifiedBy/>
  <dcterms:modified xsi:type="dcterms:W3CDTF">2026-09-29T04:58:20Z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