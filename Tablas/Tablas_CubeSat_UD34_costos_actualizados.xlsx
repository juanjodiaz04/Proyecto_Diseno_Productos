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8_{8C9D1B52-ECF1-4E51-A0E0-28A7EBB5414D}" xr6:coauthVersionLast="47" xr6:coauthVersionMax="47" xr10:uidLastSave="{00000000-0000-0000-0000-000000000000}"/>
  <bookViews>
    <workbookView xWindow="45972" yWindow="4428" windowWidth="23256" windowHeight="12456" firstSheet="8" activeTab="10" xr2:uid="{00000000-000D-0000-FFFF-FFFF00000000}"/>
  </bookViews>
  <sheets>
    <sheet name="Indice" sheetId="1" r:id="rId1"/>
    <sheet name="Requisitos" sheetId="2" r:id="rId2"/>
    <sheet name="Especificaciones" sheetId="3" r:id="rId3"/>
    <sheet name="Funciones" sheetId="4" r:id="rId4"/>
    <sheet name="Restricciones PCB" sheetId="5" r:id="rId5"/>
    <sheet name="DFM fabricante" sheetId="6" r:id="rId6"/>
    <sheet name="Restricciones Altium" sheetId="7" r:id="rId7"/>
    <sheet name="Plan verificacion" sheetId="8" r:id="rId8"/>
    <sheet name="Inventario componentes" sheetId="10" r:id="rId9"/>
    <sheet name="BOM Altium valorizada" sheetId="12" r:id="rId10"/>
    <sheet name="Costos 10 100 1000" sheetId="13" r:id="rId11"/>
    <sheet name="Criterios cotizacion" sheetId="14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B4" i="13"/>
  <c r="D3" i="13"/>
  <c r="F3" i="13" s="1"/>
  <c r="B3" i="13"/>
  <c r="D2" i="13"/>
  <c r="F2" i="13" s="1"/>
  <c r="B2" i="13"/>
  <c r="R92" i="12"/>
  <c r="P92" i="12"/>
  <c r="R90" i="12"/>
  <c r="U90" i="12" s="1"/>
  <c r="Q90" i="12"/>
  <c r="T90" i="12" s="1"/>
  <c r="P90" i="12"/>
  <c r="S90" i="12" s="1"/>
  <c r="R89" i="12"/>
  <c r="U89" i="12" s="1"/>
  <c r="Q89" i="12"/>
  <c r="T89" i="12" s="1"/>
  <c r="P89" i="12"/>
  <c r="S89" i="12" s="1"/>
  <c r="R88" i="12"/>
  <c r="U88" i="12" s="1"/>
  <c r="Q88" i="12"/>
  <c r="T88" i="12" s="1"/>
  <c r="P88" i="12"/>
  <c r="S88" i="12" s="1"/>
  <c r="R87" i="12"/>
  <c r="U87" i="12" s="1"/>
  <c r="Q87" i="12"/>
  <c r="P87" i="12"/>
  <c r="S87" i="12" s="1"/>
  <c r="U86" i="12"/>
  <c r="R86" i="12"/>
  <c r="Q86" i="12"/>
  <c r="T86" i="12" s="1"/>
  <c r="P86" i="12"/>
  <c r="S86" i="12" s="1"/>
  <c r="R85" i="12"/>
  <c r="U85" i="12" s="1"/>
  <c r="Q85" i="12"/>
  <c r="T85" i="12" s="1"/>
  <c r="P85" i="12"/>
  <c r="S85" i="12" s="1"/>
  <c r="R84" i="12"/>
  <c r="U84" i="12" s="1"/>
  <c r="Q84" i="12"/>
  <c r="T84" i="12" s="1"/>
  <c r="P84" i="12"/>
  <c r="S84" i="12" s="1"/>
  <c r="R83" i="12"/>
  <c r="U83" i="12" s="1"/>
  <c r="Q83" i="12"/>
  <c r="T83" i="12" s="1"/>
  <c r="P83" i="12"/>
  <c r="S83" i="12" s="1"/>
  <c r="R82" i="12"/>
  <c r="U82" i="12" s="1"/>
  <c r="Q82" i="12"/>
  <c r="T82" i="12" s="1"/>
  <c r="P82" i="12"/>
  <c r="S82" i="12" s="1"/>
  <c r="R81" i="12"/>
  <c r="U81" i="12" s="1"/>
  <c r="Q81" i="12"/>
  <c r="T81" i="12" s="1"/>
  <c r="P81" i="12"/>
  <c r="S81" i="12" s="1"/>
  <c r="R80" i="12"/>
  <c r="U80" i="12" s="1"/>
  <c r="Q80" i="12"/>
  <c r="T80" i="12" s="1"/>
  <c r="P80" i="12"/>
  <c r="S80" i="12" s="1"/>
  <c r="S79" i="12"/>
  <c r="R79" i="12"/>
  <c r="U79" i="12" s="1"/>
  <c r="Q79" i="12"/>
  <c r="T79" i="12" s="1"/>
  <c r="P79" i="12"/>
  <c r="R78" i="12"/>
  <c r="U78" i="12" s="1"/>
  <c r="Q78" i="12"/>
  <c r="T78" i="12" s="1"/>
  <c r="P78" i="12"/>
  <c r="S78" i="12" s="1"/>
  <c r="R77" i="12"/>
  <c r="U77" i="12" s="1"/>
  <c r="Q77" i="12"/>
  <c r="T77" i="12" s="1"/>
  <c r="P77" i="12"/>
  <c r="S77" i="12" s="1"/>
  <c r="R76" i="12"/>
  <c r="U76" i="12" s="1"/>
  <c r="Q76" i="12"/>
  <c r="T76" i="12" s="1"/>
  <c r="P76" i="12"/>
  <c r="S76" i="12" s="1"/>
  <c r="R75" i="12"/>
  <c r="U75" i="12" s="1"/>
  <c r="Q75" i="12"/>
  <c r="T75" i="12" s="1"/>
  <c r="P75" i="12"/>
  <c r="S75" i="12" s="1"/>
  <c r="R74" i="12"/>
  <c r="U74" i="12" s="1"/>
  <c r="Q74" i="12"/>
  <c r="T74" i="12" s="1"/>
  <c r="P74" i="12"/>
  <c r="S74" i="12" s="1"/>
  <c r="R73" i="12"/>
  <c r="U73" i="12" s="1"/>
  <c r="Q73" i="12"/>
  <c r="T73" i="12" s="1"/>
  <c r="P73" i="12"/>
  <c r="S73" i="12" s="1"/>
  <c r="R72" i="12"/>
  <c r="U72" i="12" s="1"/>
  <c r="Q72" i="12"/>
  <c r="T72" i="12" s="1"/>
  <c r="P72" i="12"/>
  <c r="S72" i="12" s="1"/>
  <c r="R71" i="12"/>
  <c r="U71" i="12" s="1"/>
  <c r="Q71" i="12"/>
  <c r="T71" i="12" s="1"/>
  <c r="P71" i="12"/>
  <c r="S71" i="12" s="1"/>
  <c r="R70" i="12"/>
  <c r="U70" i="12" s="1"/>
  <c r="Q70" i="12"/>
  <c r="T70" i="12" s="1"/>
  <c r="P70" i="12"/>
  <c r="S70" i="12" s="1"/>
  <c r="R69" i="12"/>
  <c r="U69" i="12" s="1"/>
  <c r="Q69" i="12"/>
  <c r="T69" i="12" s="1"/>
  <c r="P69" i="12"/>
  <c r="S69" i="12" s="1"/>
  <c r="R68" i="12"/>
  <c r="U68" i="12" s="1"/>
  <c r="Q68" i="12"/>
  <c r="T68" i="12" s="1"/>
  <c r="P68" i="12"/>
  <c r="S68" i="12" s="1"/>
  <c r="R67" i="12"/>
  <c r="U67" i="12" s="1"/>
  <c r="Q67" i="12"/>
  <c r="T67" i="12" s="1"/>
  <c r="P67" i="12"/>
  <c r="S67" i="12" s="1"/>
  <c r="R66" i="12"/>
  <c r="U66" i="12" s="1"/>
  <c r="Q66" i="12"/>
  <c r="T66" i="12" s="1"/>
  <c r="P66" i="12"/>
  <c r="S66" i="12" s="1"/>
  <c r="R65" i="12"/>
  <c r="U65" i="12" s="1"/>
  <c r="Q65" i="12"/>
  <c r="T65" i="12" s="1"/>
  <c r="P65" i="12"/>
  <c r="S65" i="12" s="1"/>
  <c r="R64" i="12"/>
  <c r="U64" i="12" s="1"/>
  <c r="Q64" i="12"/>
  <c r="T64" i="12" s="1"/>
  <c r="P64" i="12"/>
  <c r="S64" i="12" s="1"/>
  <c r="U63" i="12"/>
  <c r="T63" i="12"/>
  <c r="R63" i="12"/>
  <c r="Q63" i="12"/>
  <c r="P63" i="12"/>
  <c r="S63" i="12" s="1"/>
  <c r="R62" i="12"/>
  <c r="U62" i="12" s="1"/>
  <c r="Q62" i="12"/>
  <c r="T62" i="12" s="1"/>
  <c r="P62" i="12"/>
  <c r="S62" i="12" s="1"/>
  <c r="R61" i="12"/>
  <c r="U61" i="12" s="1"/>
  <c r="Q61" i="12"/>
  <c r="T61" i="12" s="1"/>
  <c r="P61" i="12"/>
  <c r="S61" i="12" s="1"/>
  <c r="R60" i="12"/>
  <c r="U60" i="12" s="1"/>
  <c r="Q60" i="12"/>
  <c r="T60" i="12" s="1"/>
  <c r="P60" i="12"/>
  <c r="S60" i="12" s="1"/>
  <c r="R59" i="12"/>
  <c r="U59" i="12" s="1"/>
  <c r="Q59" i="12"/>
  <c r="T59" i="12" s="1"/>
  <c r="P59" i="12"/>
  <c r="S59" i="12" s="1"/>
  <c r="R58" i="12"/>
  <c r="U58" i="12" s="1"/>
  <c r="Q58" i="12"/>
  <c r="T58" i="12" s="1"/>
  <c r="P58" i="12"/>
  <c r="S58" i="12" s="1"/>
  <c r="R57" i="12"/>
  <c r="U57" i="12" s="1"/>
  <c r="Q57" i="12"/>
  <c r="T57" i="12" s="1"/>
  <c r="P57" i="12"/>
  <c r="S57" i="12" s="1"/>
  <c r="R56" i="12"/>
  <c r="U56" i="12" s="1"/>
  <c r="Q56" i="12"/>
  <c r="T56" i="12" s="1"/>
  <c r="P56" i="12"/>
  <c r="S56" i="12" s="1"/>
  <c r="R55" i="12"/>
  <c r="U55" i="12" s="1"/>
  <c r="Q55" i="12"/>
  <c r="T55" i="12" s="1"/>
  <c r="P55" i="12"/>
  <c r="S55" i="12" s="1"/>
  <c r="R54" i="12"/>
  <c r="U54" i="12" s="1"/>
  <c r="Q54" i="12"/>
  <c r="T54" i="12" s="1"/>
  <c r="P54" i="12"/>
  <c r="S54" i="12" s="1"/>
  <c r="R53" i="12"/>
  <c r="U53" i="12" s="1"/>
  <c r="Q53" i="12"/>
  <c r="T53" i="12" s="1"/>
  <c r="P53" i="12"/>
  <c r="S53" i="12" s="1"/>
  <c r="R52" i="12"/>
  <c r="U52" i="12" s="1"/>
  <c r="Q52" i="12"/>
  <c r="T52" i="12" s="1"/>
  <c r="P52" i="12"/>
  <c r="S52" i="12" s="1"/>
  <c r="R51" i="12"/>
  <c r="U51" i="12" s="1"/>
  <c r="Q51" i="12"/>
  <c r="T51" i="12" s="1"/>
  <c r="P51" i="12"/>
  <c r="S51" i="12" s="1"/>
  <c r="R50" i="12"/>
  <c r="U50" i="12" s="1"/>
  <c r="Q50" i="12"/>
  <c r="T50" i="12" s="1"/>
  <c r="P50" i="12"/>
  <c r="S50" i="12" s="1"/>
  <c r="R49" i="12"/>
  <c r="U49" i="12" s="1"/>
  <c r="Q49" i="12"/>
  <c r="T49" i="12" s="1"/>
  <c r="P49" i="12"/>
  <c r="S49" i="12" s="1"/>
  <c r="T48" i="12"/>
  <c r="S48" i="12"/>
  <c r="R48" i="12"/>
  <c r="U48" i="12" s="1"/>
  <c r="Q48" i="12"/>
  <c r="P48" i="12"/>
  <c r="R47" i="12"/>
  <c r="U47" i="12" s="1"/>
  <c r="Q47" i="12"/>
  <c r="T47" i="12" s="1"/>
  <c r="P47" i="12"/>
  <c r="S47" i="12" s="1"/>
  <c r="R46" i="12"/>
  <c r="U46" i="12" s="1"/>
  <c r="Q46" i="12"/>
  <c r="T46" i="12" s="1"/>
  <c r="P46" i="12"/>
  <c r="S46" i="12" s="1"/>
  <c r="R45" i="12"/>
  <c r="U45" i="12" s="1"/>
  <c r="Q45" i="12"/>
  <c r="T45" i="12" s="1"/>
  <c r="P45" i="12"/>
  <c r="S45" i="12" s="1"/>
  <c r="R44" i="12"/>
  <c r="U44" i="12" s="1"/>
  <c r="Q44" i="12"/>
  <c r="T44" i="12" s="1"/>
  <c r="P44" i="12"/>
  <c r="S44" i="12" s="1"/>
  <c r="R43" i="12"/>
  <c r="U43" i="12" s="1"/>
  <c r="Q43" i="12"/>
  <c r="T43" i="12" s="1"/>
  <c r="P43" i="12"/>
  <c r="S43" i="12" s="1"/>
  <c r="R42" i="12"/>
  <c r="U42" i="12" s="1"/>
  <c r="Q42" i="12"/>
  <c r="T42" i="12" s="1"/>
  <c r="P42" i="12"/>
  <c r="S42" i="12" s="1"/>
  <c r="R41" i="12"/>
  <c r="U41" i="12" s="1"/>
  <c r="Q41" i="12"/>
  <c r="T41" i="12" s="1"/>
  <c r="P41" i="12"/>
  <c r="S41" i="12" s="1"/>
  <c r="U40" i="12"/>
  <c r="T40" i="12"/>
  <c r="R40" i="12"/>
  <c r="Q40" i="12"/>
  <c r="P40" i="12"/>
  <c r="S40" i="12" s="1"/>
  <c r="R39" i="12"/>
  <c r="U39" i="12" s="1"/>
  <c r="Q39" i="12"/>
  <c r="T39" i="12" s="1"/>
  <c r="P39" i="12"/>
  <c r="S39" i="12" s="1"/>
  <c r="R38" i="12"/>
  <c r="U38" i="12" s="1"/>
  <c r="Q38" i="12"/>
  <c r="T38" i="12" s="1"/>
  <c r="P38" i="12"/>
  <c r="S38" i="12" s="1"/>
  <c r="R37" i="12"/>
  <c r="U37" i="12" s="1"/>
  <c r="Q37" i="12"/>
  <c r="T37" i="12" s="1"/>
  <c r="P37" i="12"/>
  <c r="S37" i="12" s="1"/>
  <c r="R36" i="12"/>
  <c r="U36" i="12" s="1"/>
  <c r="Q36" i="12"/>
  <c r="T36" i="12" s="1"/>
  <c r="P36" i="12"/>
  <c r="S36" i="12" s="1"/>
  <c r="R35" i="12"/>
  <c r="U35" i="12" s="1"/>
  <c r="Q35" i="12"/>
  <c r="T35" i="12" s="1"/>
  <c r="P35" i="12"/>
  <c r="S35" i="12" s="1"/>
  <c r="R34" i="12"/>
  <c r="U34" i="12" s="1"/>
  <c r="Q34" i="12"/>
  <c r="T34" i="12" s="1"/>
  <c r="P34" i="12"/>
  <c r="S34" i="12" s="1"/>
  <c r="R33" i="12"/>
  <c r="U33" i="12" s="1"/>
  <c r="Q33" i="12"/>
  <c r="T33" i="12" s="1"/>
  <c r="P33" i="12"/>
  <c r="S33" i="12" s="1"/>
  <c r="R32" i="12"/>
  <c r="U32" i="12" s="1"/>
  <c r="Q32" i="12"/>
  <c r="T32" i="12" s="1"/>
  <c r="P32" i="12"/>
  <c r="S32" i="12" s="1"/>
  <c r="R31" i="12"/>
  <c r="U31" i="12" s="1"/>
  <c r="Q31" i="12"/>
  <c r="T31" i="12" s="1"/>
  <c r="P31" i="12"/>
  <c r="S31" i="12" s="1"/>
  <c r="R30" i="12"/>
  <c r="U30" i="12" s="1"/>
  <c r="Q30" i="12"/>
  <c r="T30" i="12" s="1"/>
  <c r="P30" i="12"/>
  <c r="S30" i="12" s="1"/>
  <c r="R29" i="12"/>
  <c r="U29" i="12" s="1"/>
  <c r="Q29" i="12"/>
  <c r="T29" i="12" s="1"/>
  <c r="P29" i="12"/>
  <c r="S29" i="12" s="1"/>
  <c r="R28" i="12"/>
  <c r="U28" i="12" s="1"/>
  <c r="Q28" i="12"/>
  <c r="T28" i="12" s="1"/>
  <c r="P28" i="12"/>
  <c r="S28" i="12" s="1"/>
  <c r="R27" i="12"/>
  <c r="U27" i="12" s="1"/>
  <c r="Q27" i="12"/>
  <c r="T27" i="12" s="1"/>
  <c r="P27" i="12"/>
  <c r="S27" i="12" s="1"/>
  <c r="R26" i="12"/>
  <c r="U26" i="12" s="1"/>
  <c r="Q26" i="12"/>
  <c r="T26" i="12" s="1"/>
  <c r="P26" i="12"/>
  <c r="S26" i="12" s="1"/>
  <c r="R25" i="12"/>
  <c r="U25" i="12" s="1"/>
  <c r="Q25" i="12"/>
  <c r="T25" i="12" s="1"/>
  <c r="P25" i="12"/>
  <c r="S25" i="12" s="1"/>
  <c r="R24" i="12"/>
  <c r="U24" i="12" s="1"/>
  <c r="Q24" i="12"/>
  <c r="T24" i="12" s="1"/>
  <c r="P24" i="12"/>
  <c r="S24" i="12" s="1"/>
  <c r="R23" i="12"/>
  <c r="U23" i="12" s="1"/>
  <c r="Q23" i="12"/>
  <c r="T23" i="12" s="1"/>
  <c r="P23" i="12"/>
  <c r="S23" i="12" s="1"/>
  <c r="R22" i="12"/>
  <c r="U22" i="12" s="1"/>
  <c r="Q22" i="12"/>
  <c r="T22" i="12" s="1"/>
  <c r="P22" i="12"/>
  <c r="S22" i="12" s="1"/>
  <c r="R21" i="12"/>
  <c r="U21" i="12" s="1"/>
  <c r="Q21" i="12"/>
  <c r="T21" i="12" s="1"/>
  <c r="P21" i="12"/>
  <c r="S21" i="12" s="1"/>
  <c r="R20" i="12"/>
  <c r="U20" i="12" s="1"/>
  <c r="Q20" i="12"/>
  <c r="T20" i="12" s="1"/>
  <c r="P20" i="12"/>
  <c r="S20" i="12" s="1"/>
  <c r="R19" i="12"/>
  <c r="U19" i="12" s="1"/>
  <c r="Q19" i="12"/>
  <c r="T19" i="12" s="1"/>
  <c r="P19" i="12"/>
  <c r="S19" i="12" s="1"/>
  <c r="R18" i="12"/>
  <c r="U18" i="12" s="1"/>
  <c r="Q18" i="12"/>
  <c r="T18" i="12" s="1"/>
  <c r="P18" i="12"/>
  <c r="S18" i="12" s="1"/>
  <c r="U17" i="12"/>
  <c r="T17" i="12"/>
  <c r="S17" i="12"/>
  <c r="R17" i="12"/>
  <c r="Q17" i="12"/>
  <c r="P17" i="12"/>
  <c r="R16" i="12"/>
  <c r="U16" i="12" s="1"/>
  <c r="Q16" i="12"/>
  <c r="T16" i="12" s="1"/>
  <c r="P16" i="12"/>
  <c r="S16" i="12" s="1"/>
  <c r="R15" i="12"/>
  <c r="U15" i="12" s="1"/>
  <c r="Q15" i="12"/>
  <c r="T15" i="12" s="1"/>
  <c r="P15" i="12"/>
  <c r="S15" i="12" s="1"/>
  <c r="R14" i="12"/>
  <c r="U14" i="12" s="1"/>
  <c r="Q14" i="12"/>
  <c r="T14" i="12" s="1"/>
  <c r="P14" i="12"/>
  <c r="S14" i="12" s="1"/>
  <c r="R13" i="12"/>
  <c r="U13" i="12" s="1"/>
  <c r="Q13" i="12"/>
  <c r="T13" i="12" s="1"/>
  <c r="P13" i="12"/>
  <c r="S13" i="12" s="1"/>
  <c r="R12" i="12"/>
  <c r="U12" i="12" s="1"/>
  <c r="Q12" i="12"/>
  <c r="T12" i="12" s="1"/>
  <c r="P12" i="12"/>
  <c r="S12" i="12" s="1"/>
  <c r="R11" i="12"/>
  <c r="U11" i="12" s="1"/>
  <c r="Q11" i="12"/>
  <c r="T11" i="12" s="1"/>
  <c r="P11" i="12"/>
  <c r="S11" i="12" s="1"/>
  <c r="R10" i="12"/>
  <c r="U10" i="12" s="1"/>
  <c r="Q10" i="12"/>
  <c r="T10" i="12" s="1"/>
  <c r="P10" i="12"/>
  <c r="S10" i="12" s="1"/>
  <c r="U9" i="12"/>
  <c r="R9" i="12"/>
  <c r="Q9" i="12"/>
  <c r="T9" i="12" s="1"/>
  <c r="P9" i="12"/>
  <c r="S9" i="12" s="1"/>
  <c r="R8" i="12"/>
  <c r="U8" i="12" s="1"/>
  <c r="Q8" i="12"/>
  <c r="T8" i="12" s="1"/>
  <c r="P8" i="12"/>
  <c r="S8" i="12" s="1"/>
  <c r="R7" i="12"/>
  <c r="U7" i="12" s="1"/>
  <c r="Q7" i="12"/>
  <c r="T7" i="12" s="1"/>
  <c r="P7" i="12"/>
  <c r="S7" i="12" s="1"/>
  <c r="R6" i="12"/>
  <c r="U6" i="12" s="1"/>
  <c r="Q6" i="12"/>
  <c r="T6" i="12" s="1"/>
  <c r="P6" i="12"/>
  <c r="S6" i="12" s="1"/>
  <c r="R5" i="12"/>
  <c r="U5" i="12" s="1"/>
  <c r="Q5" i="12"/>
  <c r="T5" i="12" s="1"/>
  <c r="P5" i="12"/>
  <c r="S5" i="12" s="1"/>
  <c r="R4" i="12"/>
  <c r="U4" i="12" s="1"/>
  <c r="Q4" i="12"/>
  <c r="T4" i="12" s="1"/>
  <c r="P4" i="12"/>
  <c r="S4" i="12" s="1"/>
  <c r="R3" i="12"/>
  <c r="U3" i="12" s="1"/>
  <c r="Q3" i="12"/>
  <c r="T3" i="12" s="1"/>
  <c r="P3" i="12"/>
  <c r="S3" i="12" s="1"/>
  <c r="R2" i="12"/>
  <c r="U2" i="12" s="1"/>
  <c r="Q2" i="12"/>
  <c r="T2" i="12" s="1"/>
  <c r="P2" i="12"/>
  <c r="S2" i="12" s="1"/>
  <c r="E4" i="13" l="1"/>
  <c r="C4" i="13"/>
  <c r="E3" i="13"/>
  <c r="C3" i="13"/>
  <c r="C2" i="13"/>
  <c r="E2" i="13"/>
  <c r="Q92" i="12"/>
  <c r="T87" i="12"/>
  <c r="T92" i="12"/>
  <c r="U92" i="12"/>
  <c r="S92" i="12"/>
</calcChain>
</file>

<file path=xl/sharedStrings.xml><?xml version="1.0" encoding="utf-8"?>
<sst xmlns="http://schemas.openxmlformats.org/spreadsheetml/2006/main" count="1365" uniqueCount="944">
  <si>
    <t>HOJA</t>
  </si>
  <si>
    <t>CONTENIDO</t>
  </si>
  <si>
    <t>FILAS</t>
  </si>
  <si>
    <t>Requisitos</t>
  </si>
  <si>
    <t>Requisitos aplicables a la tarjeta de OBC + COMMS (PCB 2)</t>
  </si>
  <si>
    <t>Especificaciones</t>
  </si>
  <si>
    <t>Especificaciones técnicas de la tarjeta COMMS+OBC</t>
  </si>
  <si>
    <t>Funciones</t>
  </si>
  <si>
    <t>Funciones de hardware y software asignadas a la tarjeta OBC + COMMS</t>
  </si>
  <si>
    <t>Restricciones PCB</t>
  </si>
  <si>
    <t>Restricciones para el diseño PCB OBC + COMMS</t>
  </si>
  <si>
    <t>DFM fabricante</t>
  </si>
  <si>
    <t>Parámetros de diseño DFM vs. límites de fabricación de PCBWay</t>
  </si>
  <si>
    <t>Restricciones Altium</t>
  </si>
  <si>
    <t>Matriz de restricciones del proyecto Altium y criterio de comprobación.</t>
  </si>
  <si>
    <t>Plan verificacion</t>
  </si>
  <si>
    <t>Plan de verificación y trazabilidad preliminar.</t>
  </si>
  <si>
    <t>Registro incidencias</t>
  </si>
  <si>
    <t>Registro de incidencias y evidencias de verificación (por completar con resultados reales).</t>
  </si>
  <si>
    <t>Inventario componentes</t>
  </si>
  <si>
    <t>Referencias principales del inventario actualizado; cantidades y montaje por confirmar en Altium.</t>
  </si>
  <si>
    <t>Resumen costos</t>
  </si>
  <si>
    <t>ID</t>
  </si>
  <si>
    <t>Tipo</t>
  </si>
  <si>
    <t>Requisito</t>
  </si>
  <si>
    <t>Origen o justificación</t>
  </si>
  <si>
    <t>Prioridad</t>
  </si>
  <si>
    <t>Criterio de aceptación</t>
  </si>
  <si>
    <t>RF-02</t>
  </si>
  <si>
    <t>Funcional</t>
  </si>
  <si>
    <t>El CubeSat deberá almacenar temporalmente los datos generados por la carga útil antes de su transmisión a tierra.</t>
  </si>
  <si>
    <t>S-05 / Operación de la carga útil.</t>
  </si>
  <si>
    <t>Alta</t>
  </si>
  <si>
    <t>La capacidad de almacenamiento definida en la eMMC/MRAM de la PCB deberá ser igual o superior al volumen máximo de datos generado entre oportunidades de descarga.</t>
  </si>
  <si>
    <t>RF-03</t>
  </si>
  <si>
    <t>El CubeSat deberá transmitir a la estación terrestre los datos de misión y la telemetría correspondiente al estado del satélite.</t>
  </si>
  <si>
    <t>S-08 / Comunicación satélite–tierra.</t>
  </si>
  <si>
    <t>El presupuesto de enlace de la etapa RF de la tarjeta deberá demostrar la capacidad de realizar el enlace descendente durante una ventana de comunicación prevista.</t>
  </si>
  <si>
    <t>RF-04</t>
  </si>
  <si>
    <t>El CubeSat deberá recibir comandos provenientes de la estación terrestre.</t>
  </si>
  <si>
    <t>S-08 / Comunicación bidireccional.</t>
  </si>
  <si>
    <t>La arquitectura de comunicaciones en la PCB deberá contemplar un enlace ascendente (UHF) capaz de recibir y entregar comandos al sistema de manejo de datos.</t>
  </si>
  <si>
    <t>RNF-01</t>
  </si>
  <si>
    <t>No funcional</t>
  </si>
  <si>
    <t>La plataforma espacial deberá ser capaz de operar nominalmente en órbita baja terrestre durante un período mínimo de seis (6) meses sin degradación crítica de sus funciones.</t>
  </si>
  <si>
    <t>S-02 / Duración nominal de la misión.</t>
  </si>
  <si>
    <t>La selección y análisis de los componentes activos y pasivos de la PCB deberá demostrar compatibilidad con una duración mínima de misión de seis meses en el ambiente orbital considerado.</t>
  </si>
  <si>
    <t>RNF-03</t>
  </si>
  <si>
    <t>El sistema de comunicaciones deberá proporcionar un enlace con margen positivo bajo las condiciones nominales de comunicación con la estación terrestre de referencia.</t>
  </si>
  <si>
    <t>S-04 y S-08 / Enlace de comunicaciones.</t>
  </si>
  <si>
    <t>El presupuesto de enlace de las etapas UHF y Banda S integradas en la PCB deberá presentar un margen superior a 0 dB para las condiciones nominales adoptadas.</t>
  </si>
  <si>
    <t>RNF-04</t>
  </si>
  <si>
    <t>Los subsistemas eléctricos deberán utilizar interfaces de alimentación y datos compatibles entre sí.</t>
  </si>
  <si>
    <t>Integración del sistema.</t>
  </si>
  <si>
    <t>La etapa de regulación local (POL) y los buses de datos de la PCB deberán demostrar compatibilidad de tensión, corriente, niveles eléctricos y protocolos con el resto de subsistemas.</t>
  </si>
  <si>
    <t>RA-01</t>
  </si>
  <si>
    <t>Ambiental</t>
  </si>
  <si>
    <t>El hardware del CubeSat deberá ser compatible con la operación en vacío durante la fase orbital de la misión.</t>
  </si>
  <si>
    <t>S-03 / Ambiente espacial de operación.</t>
  </si>
  <si>
    <t>Los componentes, conectores y materiales de la PCB (sustrato híbrido) deberán disponer de características documentadas compatibles con la operación en vacío.</t>
  </si>
  <si>
    <t>RA-02</t>
  </si>
  <si>
    <t>El CubeSat deberá soportar el entorno térmico asociado con los ciclos de iluminación y eclipse de la órbita definida para la misión.</t>
  </si>
  <si>
    <t>S-03 / Entorno térmico orbital.</t>
  </si>
  <si>
    <t>El análisis térmico de la tarjeta deberá demostrar que las temperaturas estimadas de los integrados (SoC, PAs de RF, memorias) permanecen dentro de sus límites admisibles.</t>
  </si>
  <si>
    <t>RA-03</t>
  </si>
  <si>
    <t>La estructura y los componentes del CubeSat deberán permanecer mecánicamente íntegros frente a las cargas previstas durante el lanzamiento y despliegue.</t>
  </si>
  <si>
    <t>Entorno de lanzamiento / Seguridad.</t>
  </si>
  <si>
    <t>La verificación estructural de la PCB deberá demostrar la integridad de los encapsulados BGA, TSOP, conectores PC/104 y uniones de soldadura frente a los niveles de vibración adoptados.</t>
  </si>
  <si>
    <t>RA-04</t>
  </si>
  <si>
    <t>Los equipos electrónicos críticos del CubeSat deberán mantener su funcionalidad después de una Dosis Ionizante Total de diseño de al menos 5 krad(Si).</t>
  </si>
  <si>
    <t>S-02 y S-03 / Entorno de radiación correspondiente a una misión de seis meses en SSO a 550 km.</t>
  </si>
  <si>
    <t>La tolerancia documentada a TID de los integrados críticos de la PCB (SmartFusion2, MRAM, eMMC, RFICs) deberá ser igual o superior al valor de diseño determinado.</t>
  </si>
  <si>
    <t>RA-05</t>
  </si>
  <si>
    <t>Los componentes electrónicos críticos susceptibles a latch-up deberán presentar un umbral de susceptibilidad a SEL por iones pesados igual o superior a 60 MeV cm^2/mg.</t>
  </si>
  <si>
    <t>S-03 / ECSS-E-ST-10-12C, entorno de radiación y efectos de evento único.</t>
  </si>
  <si>
    <t>Verificar documentalmente o mediante circuitos de protección local (*Load Switches*) que los componentes de la PCB susceptibles a SEL presenten LET_th 60 MeV cm^2/mg.</t>
  </si>
  <si>
    <t>RN-04</t>
  </si>
  <si>
    <t>Normativo</t>
  </si>
  <si>
    <t>El subsistema de comunicaciones deberá operar dentro de bandas y condiciones de emisión compatibles con la reglamentación de espectro aplicable a la misión.</t>
  </si>
  <si>
    <t>S-08 / Regulación de comunicaciones satelitales.</t>
  </si>
  <si>
    <t>Las etapas de transmisión UHF y Banda S de la PCB deberán ajustarse a la asignación de frecuencias, anchos de banda y potencias de emisión autorizadas.</t>
  </si>
  <si>
    <t>ID de especificación</t>
  </si>
  <si>
    <t>Requisitos asociados</t>
  </si>
  <si>
    <t>Parámetro técnico</t>
  </si>
  <si>
    <t>Valor, rango o tolerancia</t>
  </si>
  <si>
    <t>Unidad</t>
  </si>
  <si>
    <t>Fundamento</t>
  </si>
  <si>
    <t>Método previsto de verificación</t>
  </si>
  <si>
    <t>ET-MIS-01</t>
  </si>
  <si>
    <t>Vida útil nominal de la misión</t>
  </si>
  <si>
    <t>6</t>
  </si>
  <si>
    <t>meses</t>
  </si>
  <si>
    <t>Duración mínima establecida en el supuesto S-02. Condiciona la selección de componentes de la tarjeta.</t>
  </si>
  <si>
    <t>A, I</t>
  </si>
  <si>
    <t>ET-ORB-01</t>
  </si>
  <si>
    <t>RA-02, RA-04</t>
  </si>
  <si>
    <t>Altitud orbital de referencia</t>
  </si>
  <si>
    <t>550 nominal</t>
  </si>
  <si>
    <t>km</t>
  </si>
  <si>
    <t>Órbita adoptada en el supuesto S-03. Se usa en el presupuesto de enlace y en el análisis de radiación de la tarjeta.</t>
  </si>
  <si>
    <t>A</t>
  </si>
  <si>
    <t>ET-GS-01</t>
  </si>
  <si>
    <t>Estación terrestre de referencia</t>
  </si>
  <si>
    <t>Medellín</t>
  </si>
  <si>
    <t>–</t>
  </si>
  <si>
    <t>Ubicación definida en el supuesto S-04. Base del presupuesto de enlace de las bandas UHF y S.</t>
  </si>
  <si>
    <t>ET-OBC-01</t>
  </si>
  <si>
    <t>Elemento de procesamiento</t>
  </si>
  <si>
    <t>Microchip M2S050-FGG484I (ARM + FPGA)</t>
  </si>
  <si>
    <t>Se requiere lógica programable para implementar el host eMMC y la codificación Reed-Solomon del enlace UHF, además del procesador de a bordo.</t>
  </si>
  <si>
    <t>I</t>
  </si>
  <si>
    <t>ET-OBC-02</t>
  </si>
  <si>
    <t>Frecuencia del reloj del sistema</t>
  </si>
  <si>
    <t>50</t>
  </si>
  <si>
    <t>MHz</t>
  </si>
  <si>
    <t>Oscilador Aker S3A33025 alimentado a 3.3 V.</t>
  </si>
  <si>
    <t>ET-OBC-03</t>
  </si>
  <si>
    <t>Supervisión de alimentación y watchdog</t>
  </si>
  <si>
    <t>Supervisor de 3.3 V con watchdod</t>
  </si>
  <si>
    <t>Texas Instruments TPS3823-33-EP. Reinicia el sistema ante caídas de tensión o bloqueo del software.</t>
  </si>
  <si>
    <t>A, I, D</t>
  </si>
  <si>
    <t>ET-MEM-01</t>
  </si>
  <si>
    <t>Memoria RAM de trabajo</t>
  </si>
  <si>
    <t>512 (4 Gb)</t>
  </si>
  <si>
    <t>MB</t>
  </si>
  <si>
    <t>ISSI IS43TR16256A-125KBLI (DDR3L, 1.35 V). Capacidad deducida de la organización 256M 16;</t>
  </si>
  <si>
    <t>ET-MEM-02</t>
  </si>
  <si>
    <t>Memoria no volátil para firmware</t>
  </si>
  <si>
    <t>2 por dispositivo, de 2 a 4 dispositivos</t>
  </si>
  <si>
    <t>Everspin MR4A16BCYS35 en TSOP2-54. La cantidad de unidades depende de la redundancia de firmware que se adopte.</t>
  </si>
  <si>
    <t>ET-MEM-03</t>
  </si>
  <si>
    <t>Capacidad nominal de almacenamiento masivo</t>
  </si>
  <si>
    <t>32</t>
  </si>
  <si>
    <t>GB</t>
  </si>
  <si>
    <t>Micron MTFC32GAPALBH-AAT (eMMC). El host se implementa en la fabric del SoC. La capacidad útil se verifica contra ET-DAT-02.</t>
  </si>
  <si>
    <t>ET-DAT-01</t>
  </si>
  <si>
    <t>RF-01, RF-02</t>
  </si>
  <si>
    <t>Volumen de datos por adquisición</t>
  </si>
  <si>
    <t>21</t>
  </si>
  <si>
    <t>Se calculará a partir de la resolución del sensor, número de bandas, profundidad de bits y esquema de compresión adoptado. Dimensiona el almacenamiento de la tarjeta.</t>
  </si>
  <si>
    <t>ET-DAT-02</t>
  </si>
  <si>
    <t>Capacidad útil mínima de almacenamiento masivo</t>
  </si>
  <si>
    <t>8</t>
  </si>
  <si>
    <t>Se calculará a partir del máximo volumen de datos acumulado entre oportunidades consecutivas de descarga, y se comparará con ET-MEM-03.</t>
  </si>
  <si>
    <t>ET-COM-01</t>
  </si>
  <si>
    <t>Tasa neta mínima de enlace descendente</t>
  </si>
  <si>
    <t>1.0</t>
  </si>
  <si>
    <t>KbpsMbps</t>
  </si>
  <si>
    <t>Se calculará a partir del volumen de datos que debe transmitirse y del tiempo efectivo de comunicación con la estación terrestre.</t>
  </si>
  <si>
    <t>ET-COM-02</t>
  </si>
  <si>
    <t>Margen del enlace de comunicaciones</t>
  </si>
  <si>
    <t>&gt;0</t>
  </si>
  <si>
    <t>dB</t>
  </si>
  <si>
    <t>Condición establecida por RNF-03. Se verificará mediante el presupuesto de enlace de cada banda en condiciones nominales.</t>
  </si>
  <si>
    <t>ET-COM-03</t>
  </si>
  <si>
    <t>RF-03, RF-04, RN-04</t>
  </si>
  <si>
    <t>Banda de operación del enlace UHF</t>
  </si>
  <si>
    <t>435 a 438</t>
  </si>
  <si>
    <t>Seleccionada en la arquitectura de la tarjeta (Si4468-A2A-IM). La coordinación y la regulación de espectro aplicables están por confirmar.</t>
  </si>
  <si>
    <t>ET-COM-04</t>
  </si>
  <si>
    <t>Banda de operación del enlace en banda S</t>
  </si>
  <si>
    <t>2.4 a 2.45</t>
  </si>
  <si>
    <t>GHz</t>
  </si>
  <si>
    <t>Seleccionada en la arquitectura de la tarjeta (AD9364BBCZ).</t>
  </si>
  <si>
    <t>ET-COM-05</t>
  </si>
  <si>
    <t>RF-03, RNF-03</t>
  </si>
  <si>
    <t>Potencia de transmisión UHF</t>
  </si>
  <si>
    <t>0.5 nominal</t>
  </si>
  <si>
    <t>W</t>
  </si>
  <si>
    <t>Amplificador Analog Devices ADL5324. El valor de P1dB a 436 MHz</t>
  </si>
  <si>
    <t>A, T</t>
  </si>
  <si>
    <t>ET-COM-06</t>
  </si>
  <si>
    <t>Potencia de transmisión en banda S en la antena</t>
  </si>
  <si>
    <t>0.4 a 0.5 (estimada)</t>
  </si>
  <si>
    <t>El AD9364 entrega unos 7.5 dBm. El driver ADL5320 y el amplificador ADL5324 elevan la señal, y el filtro TDK DEA202450BT introduce unos 1.8 dB de pérdida.</t>
  </si>
  <si>
    <t>ET-COM-07</t>
  </si>
  <si>
    <t>RF-03, RF-04</t>
  </si>
  <si>
    <t>Codificación de canal del enlace UHF</t>
  </si>
  <si>
    <t>Reed-Solomon en la fabric del SoC</t>
  </si>
  <si>
    <t>El Si4468 no incluye corrección de errores, por lo que la FEC debe implementarse en la lógica programable.</t>
  </si>
  <si>
    <t>A, D</t>
  </si>
  <si>
    <t>ET-COM-08</t>
  </si>
  <si>
    <t>Modo de acceso a la antena por banda</t>
  </si>
  <si>
    <t>Conmutación TX/RX (semidúplex)</t>
  </si>
  <si>
    <t>Conmutador SPDT pSemi PE4259 por banda para compartir la antena.</t>
  </si>
  <si>
    <t>I, D</t>
  </si>
  <si>
    <t>ET-INT-01</t>
  </si>
  <si>
    <t>Tensión nominal del bus eléctrico principal</t>
  </si>
  <si>
    <t>5</t>
  </si>
  <si>
    <t>V</t>
  </si>
  <si>
    <t>Se definirá mediante la selección de la arquitectura EPS. Es la entrada de los reguladores de la tarjeta.</t>
  </si>
  <si>
    <t>ET-PWR-01</t>
  </si>
  <si>
    <t>RNF-02, RNF-04</t>
  </si>
  <si>
    <t>Rieles generados en la tarjeta</t>
  </si>
  <si>
    <t>1.2; 1.35; 1.8</t>
  </si>
  <si>
    <t>Regulador conmutado TPS62903. Alimentan SoC, DDR3L (incluye VTT y VREF), eMMC, memorias MRAM, transceptores y relojes.</t>
  </si>
  <si>
    <t>A, I, T</t>
  </si>
  <si>
    <t>ET-PWR-02</t>
  </si>
  <si>
    <t>RF-03, RNF-02</t>
  </si>
  <si>
    <t>Alimentación de bajo ruido para el transceptor de banda S</t>
  </si>
  <si>
    <t>Riel dedicado con LDO de ultra bajo ruido</t>
  </si>
  <si>
    <t>Analog Devices LT3045 para limpiar la alimentación del AD9364 (núcleo de 1.3 V).</t>
  </si>
  <si>
    <t>ET-PWR-03</t>
  </si>
  <si>
    <t>RNF-02</t>
  </si>
  <si>
    <t>Riel de los amplificadores de potencia</t>
  </si>
  <si>
    <t>5, conmutado, activo solo durante los pases</t>
  </si>
  <si>
    <t>Interruptor de carga TPS22918-Q1. Reduce el consumo medio de la tarjeta.</t>
  </si>
  <si>
    <t>ET-PWR-04</t>
  </si>
  <si>
    <t>RF-07, RNF-02</t>
  </si>
  <si>
    <t>Potencia pico de la tarjeta</t>
  </si>
  <si>
    <t>5.5 a 9</t>
  </si>
  <si>
    <t>Se obtendrá del presupuesto de potencia, con los amplificadores UHF y banda S activos. Alimenta el presupuesto del CubeSat.</t>
  </si>
  <si>
    <t>ET-PRO-01</t>
  </si>
  <si>
    <t>Protección contra latch-up de la tarjeta</t>
  </si>
  <si>
    <t>Corte por hardware ante sobrecorriente; umbral</t>
  </si>
  <si>
    <t>El pin ALERT del INA226 se conecta por hardware a la habilitación del interruptor de carga, sin intervención del software.</t>
  </si>
  <si>
    <t>ET-INT-03</t>
  </si>
  <si>
    <t>Conectores del bus CubeSat (PC/104)</t>
  </si>
  <si>
    <t>2 conectores de 52</t>
  </si>
  <si>
    <t>pines</t>
  </si>
  <si>
    <t>Samtec ESQ-126-14-G-D. La asignación de pines se define en la matriz de interfaces.</t>
  </si>
  <si>
    <t>ET-INT-04</t>
  </si>
  <si>
    <t>Conector de programación y depuración</t>
  </si>
  <si>
    <t>10</t>
  </si>
  <si>
    <t>Samtec HTST10501-LDVDA. Acceso al SoC para programación y depuración.</t>
  </si>
  <si>
    <t>ET-INT-05</t>
  </si>
  <si>
    <t>RF-03, RNF-04</t>
  </si>
  <si>
    <t>Conectores de antena</t>
  </si>
  <si>
    <t>2 SMP (UHF y banda S), 50</t>
  </si>
  <si>
    <t>Rosenberger 18S142-40ML5. La impedancia de 50 es una inferencia por confirmar con la hoja de datos.</t>
  </si>
  <si>
    <t>I, T</t>
  </si>
  <si>
    <t>ET-MEC-01</t>
  </si>
  <si>
    <t>RN-01</t>
  </si>
  <si>
    <t>Configuración mecánica</t>
  </si>
  <si>
    <t>1U</t>
  </si>
  <si>
    <t>Formato definido por S-01 y la CubeSat Design Specification Rev. 14.1. Acota el área disponible de la tarjeta.</t>
  </si>
  <si>
    <t>ET-PCB-01</t>
  </si>
  <si>
    <t>Material del apilamiento de la PCB</t>
  </si>
  <si>
    <t>Rogers RO4350B + Isola 370HR; 8 Capas</t>
  </si>
  <si>
    <t>Material de bajas pérdidas para las capas de RF y material estándar para el resto. El apilamiento se detalla en la guía de enrutamiento.</t>
  </si>
  <si>
    <t>ET-PCB-02</t>
  </si>
  <si>
    <t>Blindaje contra interferencia electromagnética</t>
  </si>
  <si>
    <t>Blindaje Harwin sobre las secciones de RF; referencia TBD</t>
  </si>
  <si>
    <t>Separa los circuitos de RF de los circuitos digitales y de potencia de la tarjeta.</t>
  </si>
  <si>
    <t>ET-ENV-01</t>
  </si>
  <si>
    <t>Ambiente de operación durante la fase orbital</t>
  </si>
  <si>
    <t>Vacío orbital</t>
  </si>
  <si>
    <t>Condición ambiental derivada de la operación en órbita definida en S-03.</t>
  </si>
  <si>
    <t>ET-TH-01</t>
  </si>
  <si>
    <t>Rango térmico de diseño</t>
  </si>
  <si>
    <t>-20 a 85</t>
  </si>
  <si>
    <t>^C</t>
  </si>
  <si>
    <t>Se determinará mediante análisis térmico. La MRAM (-40 a +85 ^C) y el conmutador PE4259 (máximo 85 ^C) fijan el límite superior.</t>
  </si>
  <si>
    <t>ET-STR-01</t>
  </si>
  <si>
    <t>Nivel de cargas y vibraciones de lanzamiento</t>
  </si>
  <si>
    <t>14.1</t>
  </si>
  <si>
    <t>Grms</t>
  </si>
  <si>
    <t>Perfil de vibración aleatoria envolvente (NASA GEVS GSFC-STD-7000A) y cargas cuasi-estáticas para la verificación de encapsulados BGA, TSOP y conectores de la tarjeta.</t>
  </si>
  <si>
    <t>ET-RAD-01</t>
  </si>
  <si>
    <t>Dosis Ionizante Total de diseño</t>
  </si>
  <si>
    <t>krad(Si)</t>
  </si>
  <si>
    <t>Dosis ionizante acumulada calculada para 6 meses en SSO a 550 km, considerando blindaje equivalente de 1.5 mm de aluminio y un margen de diseño RDM de 2.5x.</t>
  </si>
  <si>
    <t>ET-RAD-02</t>
  </si>
  <si>
    <t>Umbral mínimo de susceptibilidad a SEL</t>
  </si>
  <si>
    <t>60</t>
  </si>
  <si>
    <t>MeV cm^2mg</t>
  </si>
  <si>
    <t>Valor establecido en RA-05 para los componentes críticos de la tarjeta susceptibles a Single Event Latch-up.</t>
  </si>
  <si>
    <t>ET-RAD-03</t>
  </si>
  <si>
    <t>Mitigación de errores en memoria</t>
  </si>
  <si>
    <t>SECDED en la DDR3L; firmware replicado en 2 a 4 MRAM</t>
  </si>
  <si>
    <t>Los controladores DDR del SoC admiten SECDED. La redundancia de MRAM protege el firmware frente a errores por radiación.</t>
  </si>
  <si>
    <t>Función</t>
  </si>
  <si>
    <t>Tipo de implementación</t>
  </si>
  <si>
    <t>Recursos de hardware necesarios</t>
  </si>
  <si>
    <t>Responsabilidad del software futuro</t>
  </si>
  <si>
    <t>Justificación</t>
  </si>
  <si>
    <t>Procesamiento de datos de la carga útil</t>
  </si>
  <si>
    <t>Software</t>
  </si>
  <si>
    <t>Procesador dedicado/SoC (SmartFusion2 con matriz FPGA y núcleo ARM), RAM DDR3L y almacenamiento masivo local.</t>
  </si>
  <si>
    <t>Gestionar los datos adquiridos, generar metadatos, verificar integridad y realizar operaciones de preparación o compresión antes del almacenamiento o transmisión.</t>
  </si>
  <si>
    <t>La función es principalmente algorítmica. La FPGA y el procesador de la PCB 2 constituyen el recurso físico sobre el cual se ejecuta el software de procesamiento.</t>
  </si>
  <si>
    <t>Almacenamiento de imágenes</t>
  </si>
  <si>
    <t>Mixta</t>
  </si>
  <si>
    <t>Memoria no volátil (eMMC / NAND Flash de 8–32 GB) con interfaz compatible montada en la tarjeta central.</t>
  </si>
  <si>
    <t>Administrar archivos o bloques de datos, controlar la ocupación, verificar integridad mediante CRC y eliminar los datos descargados correctamente.</t>
  </si>
  <si>
    <t>RF-02. La memoria masiva local realiza físicamente el almacenamiento, mientras que el software administra la organización e integridad de la información.</t>
  </si>
  <si>
    <t>Buffer temporal de imágenes</t>
  </si>
  <si>
    <t>Memoria RAM disponible mínima de 16 MB en la cadena de procesamiento de la tarjeta.</t>
  </si>
  <si>
    <t>Gestionar buffers de entrada y salida, controlar transferencias entre la cámara, RAM y memoria no volátil y evitar pérdida de información.</t>
  </si>
  <si>
    <t>La función corresponde principalmente a gestión de memoria de trabajo para manipular los paquetes de imagen antes de su compresión o guardado.</t>
  </si>
  <si>
    <t>Control y coordinación central del CubeSat</t>
  </si>
  <si>
    <t>Computador de a bordo basado en SoC ARM Cortex-M3, memoria no volátil y buses CAN, SPI, UART, I^2C y LVDS.</t>
  </si>
  <si>
    <t>Ejecutar la máquina de estados de misión, coordinar subsistemas, gestionar modos de operación, procesar eventos y ejecutar las acciones asociadas a los comandos recibidos.</t>
  </si>
  <si>
    <t>La coordinación del sistema depende principalmente de la lógica del software de vuelo; el hardware del OBC proporciona los recursos computacionales necesarios.</t>
  </si>
  <si>
    <t>Temporización y referencia temporal</t>
  </si>
  <si>
    <t>RTC, oscilador de referencia (TCXO) y temporizadores disponibles en el computador de a bordo.</t>
  </si>
  <si>
    <t>Mantener el tiempo de misión, generar marcas temporales para imágenes y telemetría y programar eventos de operación.</t>
  </si>
  <si>
    <t>El hardware de la tarjeta proporciona la referencia temporal estable y el software la utiliza para sincronizar los eventos de misión.</t>
  </si>
  <si>
    <t>Detección y recuperación ante fallos</t>
  </si>
  <si>
    <t>Watchdog hardware externo, supervisores de alimentación locales y limitadores de corriente (Load Switches).</t>
  </si>
  <si>
    <t>Detectar condiciones anómalas, registrar eventos, reiniciar subsistemas y llevar el satélite a un estado seguro cuando sea necesario.</t>
  </si>
  <si>
    <t>Combina mecanismos autónomos de protección en hardware local con estrategias de detección y recuperación implementadas mediante software.</t>
  </si>
  <si>
    <t>Recepción de comandos críticos</t>
  </si>
  <si>
    <t>Transceptor UHF (AX5043 / CC1120 o equivalente) en el rango de 400 MHz con tasa nominal de 9.6 kbps.</t>
  </si>
  <si>
    <t>Validar la integridad de las tramas recibidas, interpretar los comandos y generar las acciones correspondientes sobre los subsistemas.</t>
  </si>
  <si>
    <t>RF-04. El transceptor realiza la recepción física en radiofrecuencia, mientras que el software interpreta y ejecuta el contenido del comando.</t>
  </si>
  <si>
    <t>Transmisión de telemetría</t>
  </si>
  <si>
    <t>Transceptor UHF con tasa nominal de 9.6 kbps y conexión digital directa con el procesador central.</t>
  </si>
  <si>
    <t>Construir paquetes de housekeeping con tensiones, corrientes, temperaturas, estados, alarmas y eventos, y gestionar su envío.</t>
  </si>
  <si>
    <t>RF-03. El software genera y organiza la telemetría mientras el hardware de radiofrecuencia realiza el enlace físico descendente.</t>
  </si>
  <si>
    <t>Transmisión de imágenes</t>
  </si>
  <si>
    <t>Transmisor de alta velocidad en Banda S (2.2–2.4 GHz) con capacidad de 1 Mbps a 8 Mbps.</t>
  </si>
  <si>
    <t>Fragmentar las imágenes, organizar los paquetes, gestionar la cola de transmisión y mantener registro de la información descargada.</t>
  </si>
  <si>
    <t>RF-03. El software gestiona el flujo de paquetes desde la eMMC hacia la etapa RF de Banda S para su descarga durante la ventana sobre Medellín.</t>
  </si>
  <si>
    <t>ID y Trazabilidad</t>
  </si>
  <si>
    <t>Restricción y Alcance</t>
  </si>
  <si>
    <t>Fuente y Fundamento</t>
  </si>
  <si>
    <t>Aplicación y Verificación</t>
  </si>
  <si>
    <t>PCB-01 (RF-03, RN-04)</t>
  </si>
  <si>
    <t>Apilamiento Híbrido (Stackup): Placa de 8 a 12 capas. Capas externas (Top/Bottom) en Rogers RO4350B (alta frecuencia) y capas internas en FR-4 High-Tg / Isola 370HR para lógica digital.</t>
  </si>
  <si>
    <t>Recomendación de arquitectura RF/Digital: El FR-4 estándar presenta pérdidas inaceptables en Banda S (2.4 GHz). El stackup híbrido optimiza costos e integridad de señal.</t>
  </si>
  <si>
    <t>Directiva de fabricación: Supuesto preliminar para el fabricante de PCBs. Verificación en el Layer Stack Manager del CAD.</t>
  </si>
  <si>
    <t>PCB-02 (RA-01, RA-02)</t>
  </si>
  <si>
    <t>Disipación Térmica (Vías): Arreglos de vías térmicas (thermal vias) bajo los PAs de RF (ADL5324) y el SoC SmartFusion2, conectando a planos gruesos de cobre (2 oz) vinculados al chasis.</t>
  </si>
  <si>
    <t>Inferencia justificada (Entorno Espacial): En el vacío no existe convección. Los integrados de alto consumo colapsarán térmicamente sin conducción directa a la estructura.</t>
  </si>
  <si>
    <t>Regla de layout: Colocación de polígonos térmicos y matrices de vías. Verificación mediante análisis térmico del CAD y revisión visual.</t>
  </si>
  <si>
    <t>PCB-03 (RNF-03, RF-03)</t>
  </si>
  <si>
    <t>Impedancia Controlada RF y Aislamiento: Microcintas Coplanares con Plano de Masa (CPWG) a 50 hacia conectores SMP, rodeadas por apantallamiento de vías (via fencing).</t>
  </si>
  <si>
    <t>Datasheet SMP y RFICs: Evita pérdidas por desacople, ondas reflejadas y radiación que degraden la figura de ruido o dañen las etapas de salida.</t>
  </si>
  <si>
    <t>Directiva de ruteo: El ancho de pista dependerá del stackup final. Verificación por calculadora de impedancia y regla DRC en el CAD.</t>
  </si>
  <si>
    <t>PCB-04 (RNF-04, IF-02, IF-07)</t>
  </si>
  <si>
    <t>Integridad de Señales Diferenciales (LVDS): Enlaces LVDS/MIPI con impedancia diferencial de 100 . Acoplamiento de longitud (desfase &lt;0.3 mm) y plano de masa continuo adyacente.</t>
  </si>
  <si>
    <t>Estándar LVDS / ECSS SpaceWire: Cancela el ruido de modo común, minimiza emisiones EMI y previene desalineación de fase a altas velocidades.</t>
  </si>
  <si>
    <t>Regla DRC de alta velocidad: Differential Pairs Routing y Length Tuning (Meandering). Verificación automática en el DRC.</t>
  </si>
  <si>
    <t>PCB-05 (RNF-03, EMC)</t>
  </si>
  <si>
    <t>Apantallamiento Electromagnético (EMI): Cajas de blindaje SMD independientes (Shielding Cans) para las secciones UHF, Banda S y reguladores Buck conmutados.</t>
  </si>
  <si>
    <t>Buena práctica RF (Aislamiento): El ruido digital del SoC y la emisión UHF (1 W) pueden ensordecer los receptores LNA o acoplar ruido al enlace de Banda S.</t>
  </si>
  <si>
    <t>Regla de layout: Footprints para clips de blindaje y zonas keep-out sin pistas en la capa top. Revisión de modelo 3D.</t>
  </si>
  <si>
    <t>PCB-06 (RNF-04, POL(Point of Load))</t>
  </si>
  <si>
    <t>Ubicación de Regulación RF (LDOs): LDOs de ultra-bajo ruido (LT3042/LT3045) ubicados a milímetros de las entradas analógicas del AD9364 (1.3 V) y LNAs.</t>
  </si>
  <si>
    <t>Datasheet AD9364 y LNAs: Los PLLs y sintetizadores son sensibles al rizado de tensión. Separarlos de reguladores conmutados asegura un PSRR óptimo.</t>
  </si>
  <si>
    <t>Directiva de placement: Aislamiento de dominios de energía en la hoja POL y ruteo directo. Revisión manual del esquemático.</t>
  </si>
  <si>
    <t>PCB-07 (OBC, Power)</t>
  </si>
  <si>
    <t>Desacoplamiento SoC y Filtrado LC: Múltiples capacitores en paralelo pegados al BGA (1.2 V). Filtrado pasivo LC (ferrita + cap) exclusivo para las líneas VDD_PLL.</t>
  </si>
  <si>
    <t>Guía de aplicación SmartFusion2: Inductores en el núcleo provocan caídas por dI/dt. Los PLLs requieren filtrado pasivo al consumir corriente estable.</t>
  </si>
  <si>
    <t>Restricción de ruteo: Capacitores colocados en la misma capa del BGA o con vías cortas directas. Verificación visual 3D e inspección de ERC.</t>
  </si>
  <si>
    <t>PCB-08 (RNF-02, EPS)</t>
  </si>
  <si>
    <t>Control de Pico de Corriente (Soft-Start): Capacitores de 3.3 nF a 10 nF en el pin SS/TR de los Bucks TPS62130A para un arranque suave de 2-4 ms.</t>
  </si>
  <si>
    <t>Datasheet TPS62130A y dinámica sistémica: Previene colapsos en el bus de alimentación global del EPS al cargar el banco de capacitores del SoC/DDR3L.</t>
  </si>
  <si>
    <t>Comprobación esquemática (ERC): Verificación de selección de dieléctricos C0G/X7R en la BOM y simulación de tiempo de arranque.</t>
  </si>
  <si>
    <t>Parámetro DFM</t>
  </si>
  <si>
    <t>Parámetro Escogido (PCB 2)</t>
  </si>
  <si>
    <t>Límite del Fabricante (PCBWay)</t>
  </si>
  <si>
    <t>Fundamento / Criterio de Selección</t>
  </si>
  <si>
    <t>Número de capas</t>
  </si>
  <si>
    <t>8 capas</t>
  </si>
  <si>
    <t>Hasta 64 capas</t>
  </si>
  <si>
    <t>Requerido para el escape (*fanout*) del BGA de 484 pines (SmartFusion2), ruteo de buses LVDS y planos de masa para RF.</t>
  </si>
  <si>
    <t>Material base y Stackup</t>
  </si>
  <si>
    <t>Híbrido: Rogers RO4350B (capas ext.) + FR-4 High-Tg / Isola 370HR (capas int.)</t>
  </si>
  <si>
    <t>FR-4 High-Tg (Tg170–220), Rogers 4350/4003, PTFE, Cerámico, Prensado mixto (2–20 capas)</t>
  </si>
  <si>
    <t>Minimiza la atenuación dieléctrica en la etapa de Banda S (2.4 GHz) en capas externas y optimiza costos en capas digitales internas.</t>
  </si>
  <si>
    <t>Espesor nominal de la placa</t>
  </si>
  <si>
    <t>1.6 mm 7%</t>
  </si>
  <si>
    <t>0.21 mm - 6.0 mm ( 7% para espesores entre 1.0 mm y 2.5 mm)</t>
  </si>
  <si>
    <t>Estándar mecánico compatible con los conectores apilables PC/104 de la estructura CubeSat 1U y rigidez ante vibraciones.</t>
  </si>
  <si>
    <t>Ancho de pista y espaciamiento (W/S)</t>
  </si>
  <si>
    <t>4.0 mil / 4.0 mil (0.10 mm)</t>
  </si>
  <si>
    <t>Mínimo 2.0 mil / 2.0 mil (0.05 mm) en capas internas y externas</t>
  </si>
  <si>
    <t>Facilita el ruteo entre los pines del BGA (0.8 mm pitch) manteniendo un alto rendimiento de fabricación (*yield*).</t>
  </si>
  <si>
    <t>Diámetro de perforación vía (Drill)</t>
  </si>
  <si>
    <t>0.20 mm (8 mil) mecánico pasante</t>
  </si>
  <si>
    <t>Mínimo 0.15 mm (Mecanizado CNC) / 0.10 mm (Microvía Láser ciega/enterrada)</t>
  </si>
  <si>
    <t>Permite la transición entre capas sin recurrir a microvías láser de alto costo (tecnología HDI estándar pasante).</t>
  </si>
  <si>
    <t>Relación de aspecto (*Aspect Ratio*)</t>
  </si>
  <si>
    <t>8:1 (1.6 mm / 0.20 mm)</t>
  </si>
  <si>
    <t>Hasta 12:1 (estándar) / 20:1 (capacidad máxima)</t>
  </si>
  <si>
    <t>Garantiza la homogeneidad y continuidad del cobreado electrolítico en las paredes internas de las vías pasantes.</t>
  </si>
  <si>
    <t>Anillo de cobre (*Annular Ring*)</t>
  </si>
  <si>
    <t>4.0 mil (0.10 mm) en vías / 6.0 mil en orificios THT</t>
  </si>
  <si>
    <t>Mínimo 3.0 mil en vías / 5.0 mil en orificios de componentes</t>
  </si>
  <si>
    <t>Previene la desalineación de la perforación (*breakout*) y asegura la integridad bajo delaminación por ciclos térmicos.</t>
  </si>
  <si>
    <t>Capacidad para componentes BGA</t>
  </si>
  <si>
    <t>Pitch de 0.8 mm / Pad de 0.35 mm</t>
  </si>
  <si>
    <t>Pitch mínimo de BGA: 0.4 mm / Diámetro mínimo de BGA: 8 mil (0.20 mm)</t>
  </si>
  <si>
    <t>Adaptado a la matriz FGG484 del SoC SmartFusion2 (M2S050) y chips de memoria masiva.</t>
  </si>
  <si>
    <t>Puente de máscara de soldadura (*Solder Mask Dam*)</t>
  </si>
  <si>
    <t>4.0 mil (0.10 mm)</t>
  </si>
  <si>
    <t>Mínimo 3.0 mil (máscara verde) / 4.0 mil (máscara negra/otras)</t>
  </si>
  <si>
    <t>Retiene el flujo de soldadura entre pads adyacentes de alta densidad para prevenir cortocircuitos por puentes durante el *reflow*.</t>
  </si>
  <si>
    <t>Acabado superficial (*Surface Finish*)</t>
  </si>
  <si>
    <t>**ENIG** (*Electroless Nickel Immersion Gold*)</t>
  </si>
  <si>
    <t>ENIG, HASL, Lead Free HASL, OSP, Immersion Ag/Sn, Plating Hard Gold</t>
  </si>
  <si>
    <t>Superficie plana indispensable para encapsulados BGA/QFN de paso fino y excelente resistencia a la oxidación en almacenamiento/vacío.</t>
  </si>
  <si>
    <t>Tolerancia de control de impedancia</t>
  </si>
  <si>
    <t>10% (50 RF CPWG / 100 diferencial LVDS)</t>
  </si>
  <si>
    <t>10% ( 5 para impedancias 50 )</t>
  </si>
  <si>
    <t>Asegura la integridad de señal en la interfaz del SDR AD9364, conector SMP y las trazas de alta velocidad de la cámara.</t>
  </si>
  <si>
    <t>Distancia vía a conductor (*Hole to Conductor*)</t>
  </si>
  <si>
    <t>8.0 mil (0.20 mm)</t>
  </si>
  <si>
    <t>Mínimo 6.0 mil (0.15 mm) a conductores internos y externos</t>
  </si>
  <si>
    <t>Evita acoplamientos capacitivos no deseados y perforaciones sobre pistas activas por tolerancias de taladrado.</t>
  </si>
  <si>
    <t>Espesor del cobre (*Copper Thickness*)</t>
  </si>
  <si>
    <t>Capas ext.: 1.0 oz (35 ) / Capas int.: 0.5 - 1.0 oz</t>
  </si>
  <si>
    <t>Cobre base mín. 1/3 oz (12 ) hasta 8 oz máximo final</t>
  </si>
  <si>
    <t>Proporciona la capacidad de conducción necesaria para los reguladores POL y estabilidad para el grabado de líneas de RF.</t>
  </si>
  <si>
    <t>Restricción / criterio de aceptación</t>
  </si>
  <si>
    <t>Evidencia y método</t>
  </si>
  <si>
    <t>AL-01</t>
  </si>
  <si>
    <t>Cada componente montado debe tener designador único, valor o referencia, fabricante, MPN y huella compatible.</t>
  </si>
  <si>
    <t>Inspección de propiedades y comparación esquemático–BOM; revisar componentes sin footprint.</t>
  </si>
  <si>
    <t>AL-02</t>
  </si>
  <si>
    <t>No deben existir redes sin conductor intencional, conflictos de dirección eléctrica ni pines de alimentación indebidamente abiertos.</t>
  </si>
  <si>
    <t>Compilación y Electrical Rules Check (ERC); registrar y justificar excepciones.</t>
  </si>
  <si>
    <t>AL-03</t>
  </si>
  <si>
    <t>Todas las hojas deberán usar nombres de red, puertos y conexiones jerárquicas coherentes, sin uniones implícitas no previstas.</t>
  </si>
  <si>
    <t>Navegador de redes, cross-probing y revisión manual hoja a hoja.</t>
  </si>
  <si>
    <t>AL-04</t>
  </si>
  <si>
    <t>Cada dominio de alimentación deberá indicar tensión nominal, secuencia de encendido, retorno y protecciones aplicables.</t>
  </si>
  <si>
    <t>Revisión de hojas POL, reguladores, load switches, supervisor y secuencia de arranque.</t>
  </si>
  <si>
    <t>AL-05</t>
  </si>
  <si>
    <t>Las interfaces del SoC, memorias y radios deben respetar niveles lógicos, direcciones, tensiones de banco y asignación de pines.</t>
  </si>
  <si>
    <t>Cruce de datasheets, pinout y tabla de interfaces; comprobación de conexiones.</t>
  </si>
  <si>
    <t>AL-06</t>
  </si>
  <si>
    <t>El reloj de referencia, reset, watchdog, programación y arranque deben estar definidos y sin estados flotantes peligrosos.</t>
  </si>
  <si>
    <t>Revisión de osciladores, resistencias de polarización, JTAG y supervisor.</t>
  </si>
  <si>
    <t>AL-07</t>
  </si>
  <si>
    <t>Las redes RF deben identificar trayectoria TX/RX, filtros, adaptación, alimentación y conectores de impedancia nominal 50 .</t>
  </si>
  <si>
    <t>Inspección de cadena RF y datasheets; impedancia física pendiente de layout.</t>
  </si>
  <si>
    <t>AL-08</t>
  </si>
  <si>
    <t>Las señales diferenciales y los buses de alta velocidad deberán tener pares, polaridad, terminación y restricciones identificables.</t>
  </si>
  <si>
    <t>Revisión del esquemático y futura definición de reglas de impedancia/longitud en PCB.</t>
  </si>
  <si>
    <t>AL-09</t>
  </si>
  <si>
    <t>Los dispositivos de potencia y radiofrecuencia deberán contar con desacoplamiento y filtrado acordes con sus fabricantes.</t>
  </si>
  <si>
    <t>Revisión manual de condensadores, valores, ubicación prevista y rutas de retorno.</t>
  </si>
  <si>
    <t>AL-10</t>
  </si>
  <si>
    <t>Los componentes opcionales o no montados deberán identificarse inequívocamente para la configuración de producción.</t>
  </si>
  <si>
    <t>Variantes de ensamblaje y BOM exportada con columna de montaje.</t>
  </si>
  <si>
    <t>AL-11</t>
  </si>
  <si>
    <t>Las librerías deberán tener correspondencia verificable entre símbolo, numeración de pines y footprint.</t>
  </si>
  <si>
    <t>Comparación con datasheets y revisión de modelos en Altium.</t>
  </si>
  <si>
    <t>AL-12</t>
  </si>
  <si>
    <t>El proyecto entregado debe contener fuentes editables, PDF del esquemático, BOM, evidencias ERC y versión identificada.</t>
  </si>
  <si>
    <t>Auditoría del repositorio y comprobación de accesibilidad del commit/etiqueta.</t>
  </si>
  <si>
    <t>Elemento a verificar</t>
  </si>
  <si>
    <t>Método</t>
  </si>
  <si>
    <t>Estado / evidencia</t>
  </si>
  <si>
    <t>VER-01</t>
  </si>
  <si>
    <t>Integridad del esquemático</t>
  </si>
  <si>
    <t>Proyecto compilado; sin errores eléctricos reales sin resolver.</t>
  </si>
  <si>
    <t>Pendiente: reporte ERC.</t>
  </si>
  <si>
    <t>VER-02</t>
  </si>
  <si>
    <t>Símbolos y huellas</t>
  </si>
  <si>
    <t>Coincidencia de todos los pines y encapsulados con el fabricante.</t>
  </si>
  <si>
    <t>Pendiente: revisión cruzada.</t>
  </si>
  <si>
    <t>VER-03</t>
  </si>
  <si>
    <t>Dominios de tensión</t>
  </si>
  <si>
    <t>I/A</t>
  </si>
  <si>
    <t>Cada carga recibe alimentación compatible y tiene desacoplamiento definido.</t>
  </si>
  <si>
    <t>Pendiente: matriz de tensiones.</t>
  </si>
  <si>
    <t>VER-04</t>
  </si>
  <si>
    <t>Arranque y supervisión</t>
  </si>
  <si>
    <t>Estados de reset, reloj y watchdog coherentes con datasheets.</t>
  </si>
  <si>
    <t>Pendiente: secuencia de arranque.</t>
  </si>
  <si>
    <t>VER-05</t>
  </si>
  <si>
    <t>Memorias y OBC</t>
  </si>
  <si>
    <t>Interfaz y asignación de pines coherentes con la arquitectura seleccionada.</t>
  </si>
  <si>
    <t>Pendiente: revisión de pinout.</t>
  </si>
  <si>
    <t>VER-06</t>
  </si>
  <si>
    <t>Cadena UHF</t>
  </si>
  <si>
    <t>Trayectoria RF completa y niveles de control compatibles con los RFIC.</t>
  </si>
  <si>
    <t>Pendiente: revisión de hojas RF.</t>
  </si>
  <si>
    <t>VER-07</t>
  </si>
  <si>
    <t>Cadena banda S</t>
  </si>
  <si>
    <t>Transceptor, balunes, amplificación y filtrado compatibles en frecuencia y potencia.</t>
  </si>
  <si>
    <t>Pendiente: presupuesto RF.</t>
  </si>
  <si>
    <t>VER-08</t>
  </si>
  <si>
    <t>Distribución de potencia</t>
  </si>
  <si>
    <t>A/P</t>
  </si>
  <si>
    <t>Corriente, pérdidas y arranque dentro de límites de cada componente.</t>
  </si>
  <si>
    <t>Análisis pendiente; prueba futura.</t>
  </si>
  <si>
    <t>VER-09</t>
  </si>
  <si>
    <t>Compatibilidad EMC</t>
  </si>
  <si>
    <t>Reglas de partición y filtrado definidas; ensayos según plan aplicable.</t>
  </si>
  <si>
    <t>Layout y pruebas futuras.</t>
  </si>
  <si>
    <t>VER-10</t>
  </si>
  <si>
    <t>Restricciones físicas</t>
  </si>
  <si>
    <t>A/I</t>
  </si>
  <si>
    <t>Contorno, altura, taladros y conectores compatibles con integración 1U.</t>
  </si>
  <si>
    <t>Comprobación 3D futura.</t>
  </si>
  <si>
    <t>VER-11</t>
  </si>
  <si>
    <t>Reglas PCB</t>
  </si>
  <si>
    <t>DRC conforme al stackup aprobado y tolerancias del fabricante.</t>
  </si>
  <si>
    <t>Pendiente de layout.</t>
  </si>
  <si>
    <t>VER-12</t>
  </si>
  <si>
    <t>Coherencia documental</t>
  </si>
  <si>
    <t>Misma revisión en esquemático, BOM, cálculos y repositorio.</t>
  </si>
  <si>
    <t>Pendiente: auditoría final.</t>
  </si>
  <si>
    <t>Referencia</t>
  </si>
  <si>
    <t>Fabricante</t>
  </si>
  <si>
    <t>SoC/OBC</t>
  </si>
  <si>
    <t>M2S050-FG484</t>
  </si>
  <si>
    <t>Microchip</t>
  </si>
  <si>
    <t>MRAM</t>
  </si>
  <si>
    <t>MR4A16BCYS35R</t>
  </si>
  <si>
    <t>Everspin</t>
  </si>
  <si>
    <t>RAM</t>
  </si>
  <si>
    <t>IS43TR16256A-125KBL</t>
  </si>
  <si>
    <t>ISSI</t>
  </si>
  <si>
    <t>Almacenamiento</t>
  </si>
  <si>
    <t>MTFC32GAPALBH-AAT</t>
  </si>
  <si>
    <t>Micron</t>
  </si>
  <si>
    <t>Oscilador</t>
  </si>
  <si>
    <t>S3A33025-50.000-L-X-R</t>
  </si>
  <si>
    <t>Aker</t>
  </si>
  <si>
    <t>Supervisor</t>
  </si>
  <si>
    <t>TPS3823-33DBVT</t>
  </si>
  <si>
    <t>Texas Instruments</t>
  </si>
  <si>
    <t>Transceptor RF</t>
  </si>
  <si>
    <t>SI4464-B1B-FMR</t>
  </si>
  <si>
    <t>Silicon Labs</t>
  </si>
  <si>
    <t>Amplificador RF</t>
  </si>
  <si>
    <t>ADL5324ARKZ-R7</t>
  </si>
  <si>
    <t>Analog Devices</t>
  </si>
  <si>
    <t>Conmutador TX/RX</t>
  </si>
  <si>
    <t>PE4259</t>
  </si>
  <si>
    <t>pSemi</t>
  </si>
  <si>
    <t>PSA4-5043+</t>
  </si>
  <si>
    <t>Mini-Circuits</t>
  </si>
  <si>
    <t>Filtro RX</t>
  </si>
  <si>
    <t>SF2421D</t>
  </si>
  <si>
    <t>RFMi</t>
  </si>
  <si>
    <t>SDR</t>
  </si>
  <si>
    <t>AD9364BBCZ</t>
  </si>
  <si>
    <t>Referencia RF</t>
  </si>
  <si>
    <t>S733025T-40.000-15-R</t>
  </si>
  <si>
    <t>Balun</t>
  </si>
  <si>
    <t>2450BL15B100E</t>
  </si>
  <si>
    <t>Johanson</t>
  </si>
  <si>
    <t>Driver RF</t>
  </si>
  <si>
    <t>ADL5320ARKZ-R7</t>
  </si>
  <si>
    <t>Filtro TX</t>
  </si>
  <si>
    <t>DEA202450BT-1294D1-H</t>
  </si>
  <si>
    <t>TDK</t>
  </si>
  <si>
    <t>LNA opcional</t>
  </si>
  <si>
    <t>MAX2644EXT+T</t>
  </si>
  <si>
    <t>Buck</t>
  </si>
  <si>
    <t>TPS62903QRYTRQ1</t>
  </si>
  <si>
    <t>LDO bajo ruido</t>
  </si>
  <si>
    <t>LT3045IMSE#PBF</t>
  </si>
  <si>
    <t>Monitor de corriente</t>
  </si>
  <si>
    <t>INA226AIDGST</t>
  </si>
  <si>
    <t>Interruptor de carga</t>
  </si>
  <si>
    <t>TPS22918TDBVRQ1</t>
  </si>
  <si>
    <t>JTAG</t>
  </si>
  <si>
    <t>HTST-105-01-L-DV-A</t>
  </si>
  <si>
    <t>Samtec</t>
  </si>
  <si>
    <t>Bus PC/104</t>
  </si>
  <si>
    <t>ESQ-126-14-G-D</t>
  </si>
  <si>
    <t>Conector SMP</t>
  </si>
  <si>
    <t>18S142-40ML5</t>
  </si>
  <si>
    <t>Rosenberger</t>
  </si>
  <si>
    <t>Línea</t>
  </si>
  <si>
    <t>Referencia / nombre Altium</t>
  </si>
  <si>
    <t>Descripción Altium</t>
  </si>
  <si>
    <t>Designadores</t>
  </si>
  <si>
    <t>Cant./tarjeta</t>
  </si>
  <si>
    <t>Tipo precio</t>
  </si>
  <si>
    <t>Fuente / proveedor</t>
  </si>
  <si>
    <t>URL fuente</t>
  </si>
  <si>
    <t>Advertencias</t>
  </si>
  <si>
    <t>Ref 10-99 USD/u</t>
  </si>
  <si>
    <t>Ref 100-999 USD/u</t>
  </si>
  <si>
    <t>Ref &gt;=1000 USD/u</t>
  </si>
  <si>
    <t>USD/u lote 10</t>
  </si>
  <si>
    <t>USD/u lote 100</t>
  </si>
  <si>
    <t>USD/u lote 1000</t>
  </si>
  <si>
    <t>USD lote 10</t>
  </si>
  <si>
    <t>USD lote 100</t>
  </si>
  <si>
    <t>USD lote 1000</t>
  </si>
  <si>
    <t>USD/tarj lote 10</t>
  </si>
  <si>
    <t>USD/tarj lote 100</t>
  </si>
  <si>
    <t>USD/tarj lote 1000</t>
  </si>
  <si>
    <t>1</t>
  </si>
  <si>
    <t>ind 5.6nH 0603</t>
  </si>
  <si>
    <t>General Purpose Inductor, 0.0056uH, 5%, 1 Element, Film-Core, Reflow soldering, 0603/0201</t>
  </si>
  <si>
    <t>203</t>
  </si>
  <si>
    <t>ESTIMADO</t>
  </si>
  <si>
    <t>Supuesto discreto SMD</t>
  </si>
  <si>
    <t>Sin MPN fabricante concreto; precio genérico provisional</t>
  </si>
  <si>
    <t>2</t>
  </si>
  <si>
    <t>No Description Available</t>
  </si>
  <si>
    <t>300</t>
  </si>
  <si>
    <t>Sin cotización exacta</t>
  </si>
  <si>
    <t>Estimación presupuestal; solicitar cotización exacta del MPN</t>
  </si>
  <si>
    <t>3</t>
  </si>
  <si>
    <t>RF Balun 2.4GHz ~ 2.5GHz 50 / 100Ohm 0805 (2012 Metric)</t>
  </si>
  <si>
    <t>302, U304</t>
  </si>
  <si>
    <t>4</t>
  </si>
  <si>
    <t>cap 10uf 25v 0805</t>
  </si>
  <si>
    <t>0805 C 10UF Ceramic Multilayer Capacitor, 25 VDC, +85DEGC, X5R Dielec, +/-10%</t>
  </si>
  <si>
    <t>C1, C3, C5, C10, C11, C18</t>
  </si>
  <si>
    <t>cap 3.3nF 0603 16v</t>
  </si>
  <si>
    <t>Ceramic Capacitor, Multilayer, Ceramic, 16V, 5% +Tol, 5% -Tol, X7R, 15% TC, 0.0033uF, Surface Mount, 0603</t>
  </si>
  <si>
    <t>C2, C4, C6</t>
  </si>
  <si>
    <t>cap 22uf 0805</t>
  </si>
  <si>
    <t>0805 C0805C 22UF Ceramic Multilayer Capacitor, 6.3V, +85C, X5R Dielectric, +/-10%</t>
  </si>
  <si>
    <t>C7, C8, C9</t>
  </si>
  <si>
    <t>7</t>
  </si>
  <si>
    <t>Capacitor 1nF +/-20% 50V 0402</t>
  </si>
  <si>
    <t>Chip Capacitor, 1nF +/-20%, 50V, 0402, Thickness 0.33 mm</t>
  </si>
  <si>
    <t>C12, C13</t>
  </si>
  <si>
    <t>Capacitor 1 uF +/- 10% 50 V 0805</t>
  </si>
  <si>
    <t>Chip Capacitor, 1 uF, +/- 10%, 50 V, 0805 (2012 Metric)</t>
  </si>
  <si>
    <t>C14, C15</t>
  </si>
  <si>
    <t>9</t>
  </si>
  <si>
    <t>Capacitor 4.7µF +/-40% 25V 0805</t>
  </si>
  <si>
    <t>Chip Capacitor, 4.7µF +/-40%, 25V, 0805, Thickness 1.45 mm</t>
  </si>
  <si>
    <t>C16, C17</t>
  </si>
  <si>
    <t>Capacitor 100 nF +/-10% 50 V 0805</t>
  </si>
  <si>
    <t>Chip Capacitor, 100 nF, +/- 10%, 50 V, 0805 (2012 Metric)</t>
  </si>
  <si>
    <t>C19, C207, C316</t>
  </si>
  <si>
    <t>11</t>
  </si>
  <si>
    <t>Capacitor 100nF +/-20% 50V 0402</t>
  </si>
  <si>
    <t>Chip Capacitor, 100nF +/-20%, 50V, 0402, Thickness 0.6 mm</t>
  </si>
  <si>
    <t>C20, C21, C22, C23, C24, C25, C26, C27, C28, C30, C31, C32, C33, C34, C35, C36, C37, C38, C40, C41</t>
  </si>
  <si>
    <t>12</t>
  </si>
  <si>
    <t>Capacitor 10µF +/-20% 25V 0805</t>
  </si>
  <si>
    <t>Chip Capacitor, 10µF +/-20%, 25V, 0805, Thickness 1.45 mm</t>
  </si>
  <si>
    <t>C29, C39</t>
  </si>
  <si>
    <t>13</t>
  </si>
  <si>
    <t>C42</t>
  </si>
  <si>
    <t>14</t>
  </si>
  <si>
    <t>C43, C44, C45, C46, C47, C49, C50, C51, C52</t>
  </si>
  <si>
    <t>15</t>
  </si>
  <si>
    <t>Capacitor 2,2µF +/-20% 10V 0402</t>
  </si>
  <si>
    <t>Chip Capacitor, 2,2µF +/-20%, 10V, 0402, Thickness 0.6 mm</t>
  </si>
  <si>
    <t>C48, C53</t>
  </si>
  <si>
    <t>16</t>
  </si>
  <si>
    <t>C54, C55, C56, C57</t>
  </si>
  <si>
    <t>17</t>
  </si>
  <si>
    <t>cap 100p</t>
  </si>
  <si>
    <t>Ceramic Capacitor, Multilayer, Ceramic, 50V, 1% +Tol, 1% -Tol, C0G, 30ppm/Cel TC, 0.0001uF, Surface Mount, 0402</t>
  </si>
  <si>
    <t>C200, C204, C205, C206, C208, C209, C301, C302</t>
  </si>
  <si>
    <t>18</t>
  </si>
  <si>
    <t>Capacitor 0.5 pF +/- 0.1pF 25 V 0402</t>
  </si>
  <si>
    <t>Chip Capacitor, 0.5 pF, +/- 0.1pF, 25 V, 0402 (1005 Metric)</t>
  </si>
  <si>
    <t>C201, C202, C303, C304</t>
  </si>
  <si>
    <t>19</t>
  </si>
  <si>
    <t>C203, C305</t>
  </si>
  <si>
    <t>20</t>
  </si>
  <si>
    <t>Capacitor 10 pF +/- 5% 50 V 0603</t>
  </si>
  <si>
    <t>Chip Capacitor, 10 pF, +/- 5%, 50 V, 0603 (1608 Metric)</t>
  </si>
  <si>
    <t>C211, C220, C318</t>
  </si>
  <si>
    <t>cap 20p 0603</t>
  </si>
  <si>
    <t>0603 20 pF 50 V ±10 % Tolerance C0G/NP0 SMT Multilayer Ceramic Capacitor</t>
  </si>
  <si>
    <t>C212, C216</t>
  </si>
  <si>
    <t>22</t>
  </si>
  <si>
    <t>cap 100pF 0603</t>
  </si>
  <si>
    <t>Ceramic Capacitor, Multilayer, Ceramic, 100V, 10% +Tol, 10% -Tol, C0G, 30ppm/Cel TC, 0.0001uF, Surface Mount, 0603</t>
  </si>
  <si>
    <t>C213, C223, C300, C317</t>
  </si>
  <si>
    <t>23</t>
  </si>
  <si>
    <t>cap 10nF 0603</t>
  </si>
  <si>
    <t>Ceramic Capacitor, Multilayer, Ceramic, 50V, 10% +Tol, 10% -Tol, X7R, 15% TC, 0.01uF, Surface Mount, 0603</t>
  </si>
  <si>
    <t>C214, C311, C320</t>
  </si>
  <si>
    <t>24</t>
  </si>
  <si>
    <t>cap 10uF 0603</t>
  </si>
  <si>
    <t>16V 10uF X5R ±10% 0603 Multilayer Ceramic Capacitors MLCC - SMD/SMT ROHS</t>
  </si>
  <si>
    <t>C215, C312</t>
  </si>
  <si>
    <t>25</t>
  </si>
  <si>
    <t>cap 6.2pF 0603</t>
  </si>
  <si>
    <t>50V 6.2pF C0G 0603 Multilayer Ceramic Capacitors MLCC - SMD/SMT ROHS</t>
  </si>
  <si>
    <t>C217</t>
  </si>
  <si>
    <t>26</t>
  </si>
  <si>
    <t>cap 1.5pF</t>
  </si>
  <si>
    <t>Ceramic Capacitor, Multilayer, Ceramic, 50V, 16.67% +Tol, 16.67% -Tol, CH, 60ppm/Cel TC, 0.0000015uF, Surface Mount,...</t>
  </si>
  <si>
    <t>C218, C219</t>
  </si>
  <si>
    <t>27</t>
  </si>
  <si>
    <t>C221</t>
  </si>
  <si>
    <t>28</t>
  </si>
  <si>
    <t>Capacitor 100 nF +/-10% 50 V 0603</t>
  </si>
  <si>
    <t>Chip Capacitor, 100 nF, +/- 10%, 50 V, 0603 (1608 Metric)</t>
  </si>
  <si>
    <t>C222, C225, C319, C323, C324, C325, C326, C327, C328, C329, C330, C331, C332, C333, C334, C335, C336, C337, C338</t>
  </si>
  <si>
    <t>29</t>
  </si>
  <si>
    <t>cap 33pF 0603</t>
  </si>
  <si>
    <t>Ceramic Capacitor, Multilayer, Ceramic, 50V, 20% +Tol, 20% -Tol, X8R, 15% TC, 3.3e-05uF, Surface Mount, 0603</t>
  </si>
  <si>
    <t>C224, C313, C314</t>
  </si>
  <si>
    <t>30</t>
  </si>
  <si>
    <t>Capacitor 12pF +/-10% 50V 0402</t>
  </si>
  <si>
    <t>Chip Capacitor, 12pF +/-10%, 50V, 0402, Thickness 0.33 mm</t>
  </si>
  <si>
    <t>C306, C310</t>
  </si>
  <si>
    <t>31</t>
  </si>
  <si>
    <t>cap 1.2pF 0603</t>
  </si>
  <si>
    <t>Cap Ceramic 1.2pF 50V C0G 0.5pF SMD 0603 125°C Paper T/R</t>
  </si>
  <si>
    <t>C307</t>
  </si>
  <si>
    <t>cap 2.2pF 0603</t>
  </si>
  <si>
    <t>Ceramic Capacitor, Multilayer, Ceramic, 16V, 0% +Tol, 0% -Tol, C0G, 30ppm/Cel TC, 0.0000022uF, Surface Mount, 0603</t>
  </si>
  <si>
    <t>C308</t>
  </si>
  <si>
    <t>33</t>
  </si>
  <si>
    <t>cap 1pF 0603</t>
  </si>
  <si>
    <t>Ceramic Capacitor, Multilayer, Ceramic, 50V, 10% +Tol, 10% -Tol, C0G, 30ppm/Cel TC, 1e-06uF, Surface Mount, 0603</t>
  </si>
  <si>
    <t>C309</t>
  </si>
  <si>
    <t>34</t>
  </si>
  <si>
    <t>cap 15pF 0603</t>
  </si>
  <si>
    <t>VJ 0603 (1608Metric) Ceramic Capacitor 0.063Lx0.031W 1.60mmx0.80mm C0G NP0 ±10% 15pF</t>
  </si>
  <si>
    <t>C315</t>
  </si>
  <si>
    <t>35</t>
  </si>
  <si>
    <t>Capacitor 1uF +/- 10% 16V 0603</t>
  </si>
  <si>
    <t>Chip Capacitor, 1 uF, +/- 10%, 16 V, 0603 (1608 Metric)</t>
  </si>
  <si>
    <t>C321, C322</t>
  </si>
  <si>
    <t>36</t>
  </si>
  <si>
    <t>FL200</t>
  </si>
  <si>
    <t>37</t>
  </si>
  <si>
    <t>IC RF TxRx + MCU General ISM &lt; 1GHz - 119MHz ~ 1.05GHz 20-VFQFN Exposed Pad</t>
  </si>
  <si>
    <t>IC200</t>
  </si>
  <si>
    <t>WEB</t>
  </si>
  <si>
    <t>Mouser</t>
  </si>
  <si>
    <t>https://www.mouser.com/ProductDetail/Silicon-Labs/SI4464-B1B-FMR?qs=v11sNlF%252BHAdMGha0TrMSMw%3D%3D</t>
  </si>
  <si>
    <t>Not recommended for new designs (DigiKey)</t>
  </si>
  <si>
    <t>38</t>
  </si>
  <si>
    <t>SMP, Mini Connector Plug, Male Pin 50 Ohms Surface Mount Solder</t>
  </si>
  <si>
    <t>J1, J300</t>
  </si>
  <si>
    <t>39</t>
  </si>
  <si>
    <t>148</t>
  </si>
  <si>
    <t>J3</t>
  </si>
  <si>
    <t>40</t>
  </si>
  <si>
    <t>J4</t>
  </si>
  <si>
    <t>DigiKey/Mouser</t>
  </si>
  <si>
    <t>https://www.digikey.com/es/products/detail/samtec-inc/ESQ-126-14-G-D/6695078</t>
  </si>
  <si>
    <t>Mouser 1000 tier; source report lists two PC104 but BOM one</t>
  </si>
  <si>
    <t>41</t>
  </si>
  <si>
    <t>RF Amplifier IC Cellular, GSM, GPS, ISM, LTE, WCDMA, WiMAX, WLAN 50MHz ~ 4GHz MMM1362</t>
  </si>
  <si>
    <t>J200</t>
  </si>
  <si>
    <t>42</t>
  </si>
  <si>
    <t>ind 1uH</t>
  </si>
  <si>
    <t>Inductor General Purpose Chip Wirewound 1uH 20% 7.96MHz Ferrite 0.69A 0.13Ohm DCR 0806 T/R</t>
  </si>
  <si>
    <t>L1, L2, L3</t>
  </si>
  <si>
    <t>43</t>
  </si>
  <si>
    <t>ind 100nH</t>
  </si>
  <si>
    <t>General Purpose Inductor, 0.1uH, 5%, 1 Element, Ceramic-Core, SMD, 0402</t>
  </si>
  <si>
    <t>L200</t>
  </si>
  <si>
    <t>44</t>
  </si>
  <si>
    <t>ind 47nH</t>
  </si>
  <si>
    <t>Ind RF Chip Unshielded Multi-Layer 47nH 5% 100MHz 6Q-Factor 200mA 0402 Punched Paper T/R</t>
  </si>
  <si>
    <t>L201</t>
  </si>
  <si>
    <t>45</t>
  </si>
  <si>
    <t>ind 120nH</t>
  </si>
  <si>
    <t>Ind Chip Wirewound 120nH 5% 25MHz 60Q-Factor Ceramic 650mA 1008 T/R</t>
  </si>
  <si>
    <t>L202</t>
  </si>
  <si>
    <t>46</t>
  </si>
  <si>
    <t>ind 20nH 0402</t>
  </si>
  <si>
    <t>General Purpose Inductor, 0.02uH, 3%, 1 Element, Reflow soldering, 1005/0402</t>
  </si>
  <si>
    <t>L204, L205, L206</t>
  </si>
  <si>
    <t>47</t>
  </si>
  <si>
    <t>ind 15nH 0201</t>
  </si>
  <si>
    <t>Inductor RF Chip Thin Film 15nH 3% 500MHz 12Q-Factor 250mA 700mOhm DCR 0201 Paper T/R</t>
  </si>
  <si>
    <t>L300</t>
  </si>
  <si>
    <t>48</t>
  </si>
  <si>
    <t>ind 3.3nH 0603</t>
  </si>
  <si>
    <t>General Purpose Inductor, 0.0033uH, 9.0909%, 1 Element, Reflow soldering, 1608/0603</t>
  </si>
  <si>
    <t>L301</t>
  </si>
  <si>
    <t>49</t>
  </si>
  <si>
    <t>ind 3.9nH 0603</t>
  </si>
  <si>
    <t>General Purpose Inductor, 0.0039uH, 7.6923%, 1 Element, Reflow soldering, 1608/0603</t>
  </si>
  <si>
    <t>L302</t>
  </si>
  <si>
    <t>RES 32.4K 0805</t>
  </si>
  <si>
    <t>Fixed Resistor, Metal Glaze/thick Film, 0.25W, 32400ohm, 150V, 0.5% +/-Tol, 100ppm/Cel, Surface Mount, 0805</t>
  </si>
  <si>
    <t>R1, R2, R3</t>
  </si>
  <si>
    <t>51</t>
  </si>
  <si>
    <t>16.9k 0805</t>
  </si>
  <si>
    <t>Fixed Resistor, Metal Glaze/Thick Film, 0.125W, 16900ohm, 150V, 1% +/-Tol, Surface Mount, 0805</t>
  </si>
  <si>
    <t>R4</t>
  </si>
  <si>
    <t>Supuesto accesorio</t>
  </si>
  <si>
    <t>Clasificación o MPN por precisar</t>
  </si>
  <si>
    <t>52</t>
  </si>
  <si>
    <t>res 21k 0805</t>
  </si>
  <si>
    <t>125mW Thin Film Resistor 150V ±0.5% ±25ppm/℃ 21kΩ 0805 Chip Resistor - Surface Mount ROHS</t>
  </si>
  <si>
    <t>R5</t>
  </si>
  <si>
    <t>53</t>
  </si>
  <si>
    <t>68 0805</t>
  </si>
  <si>
    <t>Res Thick Film 0805 68 Ohm 5% 0.125W(1/8W) ±200ppm/C Pad SMD T/R Automotive AEC-Q200</t>
  </si>
  <si>
    <t>R6, R7</t>
  </si>
  <si>
    <t>54</t>
  </si>
  <si>
    <t>Resistor 200K +/-1 % 0402 63 mW</t>
  </si>
  <si>
    <t>Chip Resistor, 200 kOhms, +/-1 %, 63 mW, -55 to 155 degC, 0402</t>
  </si>
  <si>
    <t>R8</t>
  </si>
  <si>
    <t>55</t>
  </si>
  <si>
    <t>res 30.1k 0603</t>
  </si>
  <si>
    <t>Res Thick Film 0603 30.1K Ohm 1% 0.1W(1/10W) ±100ppm/C Pad SMD Automotive T/R</t>
  </si>
  <si>
    <t>R9</t>
  </si>
  <si>
    <t>56</t>
  </si>
  <si>
    <t>res 249 0603</t>
  </si>
  <si>
    <t>100mW Thin Film Resistor 75V ±25ppm/℃ ±0.1% 249Ω 0603 Chip Resistor - Surface Mount ROHS</t>
  </si>
  <si>
    <t>R10</t>
  </si>
  <si>
    <t>57</t>
  </si>
  <si>
    <t>res 402k 0805</t>
  </si>
  <si>
    <t>Fixed Resistor, Metal Glaze/Thick Film, 0.125W, 402000ohm, 150V, 1% +/-Tol, Surface Mount, 0805</t>
  </si>
  <si>
    <t>R11</t>
  </si>
  <si>
    <t>58</t>
  </si>
  <si>
    <t>res 49.9k</t>
  </si>
  <si>
    <t>Res Thick Film 0201 49.9K Ohm 1% 1/20W ±200ppm/°C Molded SMD SMD T/R</t>
  </si>
  <si>
    <t>R12</t>
  </si>
  <si>
    <t>59</t>
  </si>
  <si>
    <t>Resistor 4k7 +/-1% 0805 125 mW</t>
  </si>
  <si>
    <t>Chip Resistor, 4.7 KOhm, +/- 1%, 0.125 W, -55 to 155 degC, 0805 (2012 Metric)</t>
  </si>
  <si>
    <t>R13, R14, R16</t>
  </si>
  <si>
    <t>res 0.02 0603</t>
  </si>
  <si>
    <t>Res Thick Film 0603 0.02 Ohm 1% 0.125W ±300ppm/°C Molded SMD Paper T/R</t>
  </si>
  <si>
    <t>R15</t>
  </si>
  <si>
    <t>61</t>
  </si>
  <si>
    <t>Resistor 4k7 +/-1% 0603 100 mW</t>
  </si>
  <si>
    <t>Chip Resistor, 4.7 KOhm, +/- 1%, 0.1 W, -55 to 155 degC, 0603 (1608 Metric)</t>
  </si>
  <si>
    <t>R17</t>
  </si>
  <si>
    <t>62</t>
  </si>
  <si>
    <t>Resistor 1K +/-5% 0805 125 mW</t>
  </si>
  <si>
    <t>Chip Resistor, 1 kOhms, +/-5%, 125 mW, -55 to 155 degC, 0805</t>
  </si>
  <si>
    <t>R18, R19, R21, R22</t>
  </si>
  <si>
    <t>63</t>
  </si>
  <si>
    <t>Resistor 10k +/-1% 0805 125 mW</t>
  </si>
  <si>
    <t>Chip Resistor, 10 KOhm, +/- 1%, 125 mW, -55 to 155 degC, 0805 (2012 Metric)</t>
  </si>
  <si>
    <t>R20, R24</t>
  </si>
  <si>
    <t>64</t>
  </si>
  <si>
    <t>240R2J</t>
  </si>
  <si>
    <t>240R 0.063W 5% 0402 (1005 Metric)  SMD</t>
  </si>
  <si>
    <t>R23</t>
  </si>
  <si>
    <t>65</t>
  </si>
  <si>
    <t>22R2J</t>
  </si>
  <si>
    <t>22R 0.063W 5% 0402 (1005 Metric)  SMD</t>
  </si>
  <si>
    <t>R25</t>
  </si>
  <si>
    <t>66</t>
  </si>
  <si>
    <t>R26, R27, R28, R29, R30, R31, R32, R33, R34, R35, R36, R37, R38, R39, R40, R41, R42, R43, R44, R45</t>
  </si>
  <si>
    <t>67</t>
  </si>
  <si>
    <t>R200, R300</t>
  </si>
  <si>
    <t>68</t>
  </si>
  <si>
    <t>res 2ohms 0603</t>
  </si>
  <si>
    <t>Res Thick Film 0603 2 Ohm 5% 0.1W(1/10W) ±200ppm/C Pad SMD Automotive T/R</t>
  </si>
  <si>
    <t>R201</t>
  </si>
  <si>
    <t>69</t>
  </si>
  <si>
    <t>R202, R302</t>
  </si>
  <si>
    <t>70</t>
  </si>
  <si>
    <t>res 1.2k 0805</t>
  </si>
  <si>
    <t>Fixed Resistor, Metal Glaze/thick Film, 0.125W, 1200ohm, 500V, 1% +/-Tol, 100ppm/Cel, Surface Mount, 0805</t>
  </si>
  <si>
    <t>R301</t>
  </si>
  <si>
    <t>71</t>
  </si>
  <si>
    <t>10R2F</t>
  </si>
  <si>
    <t>10R 0.063W 1% 0402 (1005 Metric)  SMD</t>
  </si>
  <si>
    <t>R303, R304</t>
  </si>
  <si>
    <t>72</t>
  </si>
  <si>
    <t>Resistor 10k +/-1% 0603 100 mW</t>
  </si>
  <si>
    <t>Chip Resistor, 10 KOhm, +/- 1%, 01 W, -55 to 155 degC, 0603 (1608 Metric)</t>
  </si>
  <si>
    <t>R305</t>
  </si>
  <si>
    <t>73</t>
  </si>
  <si>
    <t>res 14.3k 0603</t>
  </si>
  <si>
    <t>Fixed Resistor, Thin Film, 0.1W, 14300ohm, 75V, 0.1% +/-Tol, 25ppm/Cel, Surface Mount, 0603</t>
  </si>
  <si>
    <t>R306</t>
  </si>
  <si>
    <t>74</t>
  </si>
  <si>
    <t>Description</t>
  </si>
  <si>
    <t>U16</t>
  </si>
  <si>
    <t>WEB / proxy documentado</t>
  </si>
  <si>
    <t>Mouser (industrial suffix compared)</t>
  </si>
  <si>
    <t>https://www.mouser.com/ProductDetail/Microchip-Technology/M2S050-FG484I?qs=pU29NIZ4ZwD2tgyTpjfp5g%3D%3D</t>
  </si>
  <si>
    <t>Proxy M2S050-FG484I: BOM exact lacks I; 1000 tier inferred from FG484 non-stock 60 MOQ</t>
  </si>
  <si>
    <t>75</t>
  </si>
  <si>
    <t>Active-low, push-pull, voltage supervisor (reset IC) with 1.6-s watchdog &amp; manual reset</t>
  </si>
  <si>
    <t>U17</t>
  </si>
  <si>
    <t>76</t>
  </si>
  <si>
    <t>Automotive, 3-V to 18-V, 3-A low-IQ synchronous buck converter with 165Â°C junction temperature 9-VQFN-HR -40 to 165</t>
  </si>
  <si>
    <t>U100, U101, U102</t>
  </si>
  <si>
    <t>LCSC via DigiPart</t>
  </si>
  <si>
    <t>https://www.digipart.com/part/TPS62903</t>
  </si>
  <si>
    <t>1000 unit price held at 100 tier due no quote; limited 16 units observed</t>
  </si>
  <si>
    <t>77</t>
  </si>
  <si>
    <t>1-ch, 5.5-V, 2-A, 52-mÎ© automotive load switch with adj. rise time and adj. output discharg</t>
  </si>
  <si>
    <t>U103, U104</t>
  </si>
  <si>
    <t>DigiKey</t>
  </si>
  <si>
    <t>https://www.digikey.com/en/products/detail/texas-instruments/TPS22918TDBVRQ1/6164978</t>
  </si>
  <si>
    <t>Zero stock noted; prices are reference</t>
  </si>
  <si>
    <t>78</t>
  </si>
  <si>
    <t>LT3045IMSE#WPBF</t>
  </si>
  <si>
    <t>20V, 500mA, Ultralow Noise, Ultrahigh PSRR Linear Regulator</t>
  </si>
  <si>
    <t>U105</t>
  </si>
  <si>
    <t>79</t>
  </si>
  <si>
    <t>36V, 16-bit, ultra-precise i2c output current/voltage/power monitor w/alert</t>
  </si>
  <si>
    <t>U106</t>
  </si>
  <si>
    <t>80</t>
  </si>
  <si>
    <t>RF Switch IC General Purpose SPDT 3 GHz 50Ohm SC-70-6</t>
  </si>
  <si>
    <t>U200, U300</t>
  </si>
  <si>
    <t>81</t>
  </si>
  <si>
    <t>400 MHz TO 4000 MHz Â½ Watt RF Driver Amplifier</t>
  </si>
  <si>
    <t>U201</t>
  </si>
  <si>
    <t>https://www.mouser.com/ProductDetail/Analog-Devices/ADL5324ARKZ-R7?qs=BpaRKvA4VqGlr8vJaaqhsQ%3D%3D</t>
  </si>
  <si>
    <t>1000 reel tier may require full reel</t>
  </si>
  <si>
    <t>82</t>
  </si>
  <si>
    <t>400 MHz TO 2700 MHz Â¼ Watt RF Driver Amplifier</t>
  </si>
  <si>
    <t>U301</t>
  </si>
  <si>
    <t>https://www.digikey.com/en/products/detail/analog-devices-inc/ADL5320ARKZ-R7/1894589</t>
  </si>
  <si>
    <t>Published tier schedule</t>
  </si>
  <si>
    <t>83</t>
  </si>
  <si>
    <t>MAX2644EXT-T</t>
  </si>
  <si>
    <t>2.4GHz SiGe, High IP3 Low-Noise Amplifier</t>
  </si>
  <si>
    <t>U303</t>
  </si>
  <si>
    <t>DigiKey (+T suffix proxy)</t>
  </si>
  <si>
    <t>https://www.digikey.com/en/products/detail/analog-devices-inc-maxim-integrated/MAX2644EXT-T/1867431</t>
  </si>
  <si>
    <t>BOM lacks +; optional in text but populated in Altium</t>
  </si>
  <si>
    <t>84</t>
  </si>
  <si>
    <t>1 x 1 RF Agile Transceiver</t>
  </si>
  <si>
    <t>U305</t>
  </si>
  <si>
    <t>85</t>
  </si>
  <si>
    <t>U400</t>
  </si>
  <si>
    <t>86</t>
  </si>
  <si>
    <t>U401</t>
  </si>
  <si>
    <t>87</t>
  </si>
  <si>
    <t>U402, U403</t>
  </si>
  <si>
    <t>https://www.mouser.com/en/ProductDetail/Everspin-Technologies/MR4A16BCYS35R?qs=lzGMqP3RDOJSuPZIqvmzOw%3D%3D</t>
  </si>
  <si>
    <t>Tier 1000 reel; qty 20 at 10 boards priced tier 10</t>
  </si>
  <si>
    <t>88</t>
  </si>
  <si>
    <t>Y3</t>
  </si>
  <si>
    <t>89</t>
  </si>
  <si>
    <t>Y300</t>
  </si>
  <si>
    <t>TOTAL</t>
  </si>
  <si>
    <t>Lote tarjetas</t>
  </si>
  <si>
    <t>Costo lote USD</t>
  </si>
  <si>
    <t>Costo por tarjeta USD</t>
  </si>
  <si>
    <t>Parte web USD</t>
  </si>
  <si>
    <t>Parte estimada USD</t>
  </si>
  <si>
    <t>Cobertura web %</t>
  </si>
  <si>
    <t>Campo</t>
  </si>
  <si>
    <t>Criterio</t>
  </si>
  <si>
    <t>Fecha referencia</t>
  </si>
  <si>
    <t>2026-10-26</t>
  </si>
  <si>
    <t>Moneda</t>
  </si>
  <si>
    <t>USD</t>
  </si>
  <si>
    <t>Configuración</t>
  </si>
  <si>
    <t>Se presupuestan las 89 líneas de Altium tal como fueron exportadas; MAX2644 incluido pese a anotación opcional</t>
  </si>
  <si>
    <t>Precios WEB</t>
  </si>
  <si>
    <t>Datos publicados en enlaces citados, algunos precios por sustituto de sufijo explícitamente documentados</t>
  </si>
  <si>
    <t>Precios ESTIMADO</t>
  </si>
  <si>
    <t>Hipótesis de ingeniería; no son cotizaciones verificadas</t>
  </si>
  <si>
    <t>Escalas</t>
  </si>
  <si>
    <t>Se aplica tramo de precio según unidades totales por línea: &lt;100, 100-999, &gt;=1000; a falta de tramos se aproxima</t>
  </si>
  <si>
    <t>Exclusiones</t>
  </si>
  <si>
    <t>Sin PCB, ensamblaje, flete, IVA, aranceles, merma o MOQ adicional</t>
  </si>
  <si>
    <t>Riesgos</t>
  </si>
  <si>
    <t>Micron eMMC obsoleta; SoC sufijo distinto; si se exige compra real, verificar disponibilidad, MOQ y actualización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</si>
</sst>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23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3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" displayName="T1_" ref="A1:F13" totalsRowShown="0">
  <tableColumns count="6">
    <tableColumn id="1" xr3:uid="{00000000-0010-0000-0000-000001000000}" name="ID"/>
    <tableColumn id="2" xr3:uid="{00000000-0010-0000-0000-000002000000}" name="Tipo"/>
    <tableColumn id="3" xr3:uid="{00000000-0010-0000-0000-000003000000}" name="Requisito"/>
    <tableColumn id="4" xr3:uid="{00000000-0010-0000-0000-000004000000}" name="Origen o justificación"/>
    <tableColumn id="5" xr3:uid="{00000000-0010-0000-0000-000005000000}" name="Prioridad"/>
    <tableColumn id="6" xr3:uid="{00000000-0010-0000-0000-000006000000}" name="Criterio de acept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2" displayName="T2_" ref="A1:G38" totalsRowShown="0">
  <tableColumns count="7">
    <tableColumn id="1" xr3:uid="{00000000-0010-0000-0100-000001000000}" name="ID de especificación"/>
    <tableColumn id="2" xr3:uid="{00000000-0010-0000-0100-000002000000}" name="Requisitos asociados"/>
    <tableColumn id="3" xr3:uid="{00000000-0010-0000-0100-000003000000}" name="Parámetro técnico"/>
    <tableColumn id="4" xr3:uid="{00000000-0010-0000-0100-000004000000}" name="Valor, rango o tolerancia"/>
    <tableColumn id="5" xr3:uid="{00000000-0010-0000-0100-000005000000}" name="Unidad"/>
    <tableColumn id="6" xr3:uid="{00000000-0010-0000-0100-000006000000}" name="Fundamento"/>
    <tableColumn id="7" xr3:uid="{00000000-0010-0000-0100-000007000000}" name="Método previsto de verific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3" displayName="T3_" ref="A1:E10" totalsRowShown="0">
  <tableColumns count="5">
    <tableColumn id="1" xr3:uid="{00000000-0010-0000-0200-000001000000}" name="Función"/>
    <tableColumn id="2" xr3:uid="{00000000-0010-0000-0200-000002000000}" name="Tipo de implementación"/>
    <tableColumn id="3" xr3:uid="{00000000-0010-0000-0200-000003000000}" name="Recursos de hardware necesarios"/>
    <tableColumn id="4" xr3:uid="{00000000-0010-0000-0200-000004000000}" name="Responsabilidad del software futuro"/>
    <tableColumn id="5" xr3:uid="{00000000-0010-0000-0200-000005000000}" name="Justific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4" displayName="T4_" ref="A1:D9" totalsRowShown="0">
  <tableColumns count="4">
    <tableColumn id="1" xr3:uid="{00000000-0010-0000-0300-000001000000}" name="ID y Trazabilidad"/>
    <tableColumn id="2" xr3:uid="{00000000-0010-0000-0300-000002000000}" name="Restricción y Alcance"/>
    <tableColumn id="3" xr3:uid="{00000000-0010-0000-0300-000003000000}" name="Fuente y Fundamento"/>
    <tableColumn id="4" xr3:uid="{00000000-0010-0000-0300-000004000000}" name="Aplicación y Verific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5" displayName="T5_" ref="A1:D14" totalsRowShown="0">
  <tableColumns count="4">
    <tableColumn id="1" xr3:uid="{00000000-0010-0000-0400-000001000000}" name="Parámetro DFM"/>
    <tableColumn id="2" xr3:uid="{00000000-0010-0000-0400-000002000000}" name="Parámetro Escogido (PCB 2)"/>
    <tableColumn id="3" xr3:uid="{00000000-0010-0000-0400-000003000000}" name="Límite del Fabricante (PCBWay)"/>
    <tableColumn id="4" xr3:uid="{00000000-0010-0000-0400-000004000000}" name="Fundamento / Criterio de Selec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6" displayName="T6_" ref="A1:C13" totalsRowShown="0">
  <tableColumns count="3">
    <tableColumn id="1" xr3:uid="{00000000-0010-0000-0500-000001000000}" name="ID"/>
    <tableColumn id="2" xr3:uid="{00000000-0010-0000-0500-000002000000}" name="Restricción / criterio de aceptación"/>
    <tableColumn id="3" xr3:uid="{00000000-0010-0000-0500-000003000000}" name="Evidencia y méto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7" displayName="T7_" ref="A1:E13" totalsRowShown="0">
  <tableColumns count="5">
    <tableColumn id="1" xr3:uid="{00000000-0010-0000-0600-000001000000}" name="ID"/>
    <tableColumn id="2" xr3:uid="{00000000-0010-0000-0600-000002000000}" name="Elemento a verificar"/>
    <tableColumn id="3" xr3:uid="{00000000-0010-0000-0600-000003000000}" name="Método"/>
    <tableColumn id="4" xr3:uid="{00000000-0010-0000-0600-000004000000}" name="Criterio de aceptación"/>
    <tableColumn id="5" xr3:uid="{00000000-0010-0000-0600-000005000000}" name="Estado / evid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9" displayName="T9_" ref="A1:C25" totalsRowShown="0">
  <tableColumns count="3">
    <tableColumn id="1" xr3:uid="{00000000-0010-0000-0800-000001000000}" name="Función"/>
    <tableColumn id="2" xr3:uid="{00000000-0010-0000-0800-000002000000}" name="Referencia"/>
    <tableColumn id="3" xr3:uid="{00000000-0010-0000-0800-000003000000}" name="Fabric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pane ySplit="1" topLeftCell="A2" activePane="bottomLeft" state="frozen"/>
      <selection pane="bottomLeft" activeCell="B1" sqref="B1"/>
    </sheetView>
  </sheetViews>
  <sheetFormatPr defaultRowHeight="13.7"/>
  <cols>
    <col min="1" max="1" width="25" customWidth="1"/>
    <col min="2" max="2" width="75" customWidth="1"/>
    <col min="3" max="3" width="13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</v>
      </c>
    </row>
    <row r="3" spans="1:3">
      <c r="A3" t="s">
        <v>5</v>
      </c>
      <c r="B3" t="s">
        <v>6</v>
      </c>
      <c r="C3">
        <v>37</v>
      </c>
    </row>
    <row r="4" spans="1:3">
      <c r="A4" t="s">
        <v>7</v>
      </c>
      <c r="B4" t="s">
        <v>8</v>
      </c>
      <c r="C4">
        <v>9</v>
      </c>
    </row>
    <row r="5" spans="1:3">
      <c r="A5" t="s">
        <v>9</v>
      </c>
      <c r="B5" t="s">
        <v>10</v>
      </c>
      <c r="C5">
        <v>8</v>
      </c>
    </row>
    <row r="6" spans="1:3">
      <c r="A6" t="s">
        <v>11</v>
      </c>
      <c r="B6" t="s">
        <v>12</v>
      </c>
      <c r="C6">
        <v>13</v>
      </c>
    </row>
    <row r="7" spans="1:3">
      <c r="A7" t="s">
        <v>13</v>
      </c>
      <c r="B7" t="s">
        <v>14</v>
      </c>
      <c r="C7">
        <v>12</v>
      </c>
    </row>
    <row r="8" spans="1:3">
      <c r="A8" t="s">
        <v>15</v>
      </c>
      <c r="B8" t="s">
        <v>16</v>
      </c>
      <c r="C8">
        <v>12</v>
      </c>
    </row>
    <row r="9" spans="1:3">
      <c r="A9" t="s">
        <v>17</v>
      </c>
      <c r="B9" t="s">
        <v>18</v>
      </c>
      <c r="C9">
        <v>2</v>
      </c>
    </row>
    <row r="10" spans="1:3">
      <c r="A10" t="s">
        <v>19</v>
      </c>
      <c r="B10" t="s">
        <v>20</v>
      </c>
      <c r="C10">
        <v>24</v>
      </c>
    </row>
    <row r="11" spans="1:3">
      <c r="A11" t="s">
        <v>21</v>
      </c>
      <c r="B11" t="s">
        <v>21</v>
      </c>
      <c r="C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6" activePane="bottomLeft" state="frozen"/>
      <selection pane="bottomLeft"/>
    </sheetView>
  </sheetViews>
  <sheetFormatPr defaultRowHeight="13.7"/>
  <cols>
    <col min="1" max="1" width="17" customWidth="1"/>
    <col min="2" max="2" width="24" customWidth="1"/>
    <col min="3" max="5" width="34" customWidth="1"/>
    <col min="6" max="6" width="24" customWidth="1"/>
  </cols>
  <sheetData>
    <row r="1" spans="1:6" ht="32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6" ht="42" customHeight="1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spans="1:6" ht="42" customHeight="1">
      <c r="A3" s="3" t="s">
        <v>34</v>
      </c>
      <c r="B3" s="3" t="s">
        <v>29</v>
      </c>
      <c r="C3" s="3" t="s">
        <v>35</v>
      </c>
      <c r="D3" s="3" t="s">
        <v>36</v>
      </c>
      <c r="E3" s="3" t="s">
        <v>32</v>
      </c>
      <c r="F3" s="3" t="s">
        <v>37</v>
      </c>
    </row>
    <row r="4" spans="1:6" ht="42" customHeight="1">
      <c r="A4" s="3" t="s">
        <v>38</v>
      </c>
      <c r="B4" s="3" t="s">
        <v>29</v>
      </c>
      <c r="C4" s="3" t="s">
        <v>39</v>
      </c>
      <c r="D4" s="3" t="s">
        <v>40</v>
      </c>
      <c r="E4" s="3" t="s">
        <v>32</v>
      </c>
      <c r="F4" s="3" t="s">
        <v>41</v>
      </c>
    </row>
    <row r="5" spans="1:6" ht="42" customHeight="1">
      <c r="A5" s="3" t="s">
        <v>42</v>
      </c>
      <c r="B5" s="3" t="s">
        <v>43</v>
      </c>
      <c r="C5" s="3" t="s">
        <v>44</v>
      </c>
      <c r="D5" s="3" t="s">
        <v>45</v>
      </c>
      <c r="E5" s="3" t="s">
        <v>32</v>
      </c>
      <c r="F5" s="3" t="s">
        <v>46</v>
      </c>
    </row>
    <row r="6" spans="1:6" ht="42" customHeight="1">
      <c r="A6" s="3" t="s">
        <v>47</v>
      </c>
      <c r="B6" s="3" t="s">
        <v>43</v>
      </c>
      <c r="C6" s="3" t="s">
        <v>48</v>
      </c>
      <c r="D6" s="3" t="s">
        <v>49</v>
      </c>
      <c r="E6" s="3" t="s">
        <v>32</v>
      </c>
      <c r="F6" s="3" t="s">
        <v>50</v>
      </c>
    </row>
    <row r="7" spans="1:6" ht="42" customHeight="1">
      <c r="A7" s="3" t="s">
        <v>51</v>
      </c>
      <c r="B7" s="3" t="s">
        <v>43</v>
      </c>
      <c r="C7" s="3" t="s">
        <v>52</v>
      </c>
      <c r="D7" s="3" t="s">
        <v>53</v>
      </c>
      <c r="E7" s="3" t="s">
        <v>32</v>
      </c>
      <c r="F7" s="3" t="s">
        <v>54</v>
      </c>
    </row>
    <row r="8" spans="1:6" ht="42" customHeight="1">
      <c r="A8" s="3" t="s">
        <v>55</v>
      </c>
      <c r="B8" s="3" t="s">
        <v>56</v>
      </c>
      <c r="C8" s="3" t="s">
        <v>57</v>
      </c>
      <c r="D8" s="3" t="s">
        <v>58</v>
      </c>
      <c r="E8" s="3" t="s">
        <v>32</v>
      </c>
      <c r="F8" s="3" t="s">
        <v>59</v>
      </c>
    </row>
    <row r="9" spans="1:6" ht="42" customHeight="1">
      <c r="A9" s="3" t="s">
        <v>60</v>
      </c>
      <c r="B9" s="3" t="s">
        <v>56</v>
      </c>
      <c r="C9" s="3" t="s">
        <v>61</v>
      </c>
      <c r="D9" s="3" t="s">
        <v>62</v>
      </c>
      <c r="E9" s="3" t="s">
        <v>32</v>
      </c>
      <c r="F9" s="3" t="s">
        <v>63</v>
      </c>
    </row>
    <row r="10" spans="1:6" ht="42" customHeight="1">
      <c r="A10" s="3" t="s">
        <v>64</v>
      </c>
      <c r="B10" s="3" t="s">
        <v>56</v>
      </c>
      <c r="C10" s="3" t="s">
        <v>65</v>
      </c>
      <c r="D10" s="3" t="s">
        <v>66</v>
      </c>
      <c r="E10" s="3" t="s">
        <v>32</v>
      </c>
      <c r="F10" s="3" t="s">
        <v>67</v>
      </c>
    </row>
    <row r="11" spans="1:6" ht="42" customHeight="1">
      <c r="A11" s="3" t="s">
        <v>68</v>
      </c>
      <c r="B11" s="3" t="s">
        <v>56</v>
      </c>
      <c r="C11" s="3" t="s">
        <v>69</v>
      </c>
      <c r="D11" s="3" t="s">
        <v>70</v>
      </c>
      <c r="E11" s="3" t="s">
        <v>32</v>
      </c>
      <c r="F11" s="3" t="s">
        <v>71</v>
      </c>
    </row>
    <row r="12" spans="1:6" ht="42" customHeight="1">
      <c r="A12" s="3" t="s">
        <v>72</v>
      </c>
      <c r="B12" s="3" t="s">
        <v>56</v>
      </c>
      <c r="C12" s="3" t="s">
        <v>73</v>
      </c>
      <c r="D12" s="3" t="s">
        <v>74</v>
      </c>
      <c r="E12" s="3" t="s">
        <v>32</v>
      </c>
      <c r="F12" s="3" t="s">
        <v>75</v>
      </c>
    </row>
    <row r="13" spans="1:6" ht="42" customHeight="1">
      <c r="A13" s="3" t="s">
        <v>76</v>
      </c>
      <c r="B13" s="3" t="s">
        <v>77</v>
      </c>
      <c r="C13" s="3" t="s">
        <v>78</v>
      </c>
      <c r="D13" s="3" t="s">
        <v>79</v>
      </c>
      <c r="E13" s="3" t="s">
        <v>32</v>
      </c>
      <c r="F13" s="3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pane ySplit="1" topLeftCell="A2" activePane="bottomLeft" state="frozen"/>
      <selection pane="bottomLeft"/>
    </sheetView>
  </sheetViews>
  <sheetFormatPr defaultRowHeight="13.7"/>
  <cols>
    <col min="1" max="1" width="17" customWidth="1"/>
    <col min="2" max="2" width="24" customWidth="1"/>
    <col min="3" max="6" width="34" customWidth="1"/>
    <col min="7" max="7" width="24" customWidth="1"/>
  </cols>
  <sheetData>
    <row r="1" spans="1:7" ht="32" customHeight="1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</row>
    <row r="2" spans="1:7" ht="42" customHeight="1">
      <c r="A2" s="3" t="s">
        <v>88</v>
      </c>
      <c r="B2" s="3" t="s">
        <v>42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</row>
    <row r="3" spans="1:7" ht="42" customHeight="1">
      <c r="A3" s="3" t="s">
        <v>94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99</v>
      </c>
      <c r="G3" s="3" t="s">
        <v>100</v>
      </c>
    </row>
    <row r="4" spans="1:7" ht="42" customHeight="1">
      <c r="A4" s="3" t="s">
        <v>101</v>
      </c>
      <c r="B4" s="3" t="s">
        <v>47</v>
      </c>
      <c r="C4" s="3" t="s">
        <v>102</v>
      </c>
      <c r="D4" s="3" t="s">
        <v>103</v>
      </c>
      <c r="E4" s="3" t="s">
        <v>104</v>
      </c>
      <c r="F4" s="3" t="s">
        <v>105</v>
      </c>
      <c r="G4" s="3" t="s">
        <v>100</v>
      </c>
    </row>
    <row r="5" spans="1:7" ht="42" customHeight="1">
      <c r="A5" s="3" t="s">
        <v>106</v>
      </c>
      <c r="B5" s="3" t="s">
        <v>28</v>
      </c>
      <c r="C5" s="3" t="s">
        <v>107</v>
      </c>
      <c r="D5" s="3" t="s">
        <v>108</v>
      </c>
      <c r="E5" s="3" t="s">
        <v>104</v>
      </c>
      <c r="F5" s="3" t="s">
        <v>109</v>
      </c>
      <c r="G5" s="3" t="s">
        <v>110</v>
      </c>
    </row>
    <row r="6" spans="1:7" ht="42" customHeight="1">
      <c r="A6" s="3" t="s">
        <v>111</v>
      </c>
      <c r="B6" s="3" t="s">
        <v>28</v>
      </c>
      <c r="C6" s="3" t="s">
        <v>112</v>
      </c>
      <c r="D6" s="3" t="s">
        <v>113</v>
      </c>
      <c r="E6" s="3" t="s">
        <v>114</v>
      </c>
      <c r="F6" s="3" t="s">
        <v>115</v>
      </c>
      <c r="G6" s="3" t="s">
        <v>110</v>
      </c>
    </row>
    <row r="7" spans="1:7" ht="42" customHeight="1">
      <c r="A7" s="3" t="s">
        <v>116</v>
      </c>
      <c r="B7" s="3" t="s">
        <v>42</v>
      </c>
      <c r="C7" s="3" t="s">
        <v>117</v>
      </c>
      <c r="D7" s="3" t="s">
        <v>118</v>
      </c>
      <c r="E7" s="3" t="s">
        <v>104</v>
      </c>
      <c r="F7" s="3" t="s">
        <v>119</v>
      </c>
      <c r="G7" s="3" t="s">
        <v>120</v>
      </c>
    </row>
    <row r="8" spans="1:7" ht="42" customHeight="1">
      <c r="A8" s="3" t="s">
        <v>121</v>
      </c>
      <c r="B8" s="3" t="s">
        <v>28</v>
      </c>
      <c r="C8" s="3" t="s">
        <v>122</v>
      </c>
      <c r="D8" s="3" t="s">
        <v>123</v>
      </c>
      <c r="E8" s="3" t="s">
        <v>124</v>
      </c>
      <c r="F8" s="3" t="s">
        <v>125</v>
      </c>
      <c r="G8" s="3" t="s">
        <v>93</v>
      </c>
    </row>
    <row r="9" spans="1:7" ht="42" customHeight="1">
      <c r="A9" s="3" t="s">
        <v>126</v>
      </c>
      <c r="B9" s="3" t="s">
        <v>28</v>
      </c>
      <c r="C9" s="3" t="s">
        <v>127</v>
      </c>
      <c r="D9" s="3" t="s">
        <v>128</v>
      </c>
      <c r="E9" s="3" t="s">
        <v>124</v>
      </c>
      <c r="F9" s="3" t="s">
        <v>129</v>
      </c>
      <c r="G9" s="3" t="s">
        <v>93</v>
      </c>
    </row>
    <row r="10" spans="1:7" ht="42" customHeight="1">
      <c r="A10" s="3" t="s">
        <v>130</v>
      </c>
      <c r="B10" s="3" t="s">
        <v>28</v>
      </c>
      <c r="C10" s="3" t="s">
        <v>131</v>
      </c>
      <c r="D10" s="3" t="s">
        <v>132</v>
      </c>
      <c r="E10" s="3" t="s">
        <v>133</v>
      </c>
      <c r="F10" s="3" t="s">
        <v>134</v>
      </c>
      <c r="G10" s="3" t="s">
        <v>93</v>
      </c>
    </row>
    <row r="11" spans="1:7" ht="42" customHeight="1">
      <c r="A11" s="3" t="s">
        <v>135</v>
      </c>
      <c r="B11" s="3" t="s">
        <v>136</v>
      </c>
      <c r="C11" s="3" t="s">
        <v>137</v>
      </c>
      <c r="D11" s="3" t="s">
        <v>138</v>
      </c>
      <c r="E11" s="3" t="s">
        <v>124</v>
      </c>
      <c r="F11" s="3" t="s">
        <v>139</v>
      </c>
      <c r="G11" s="3" t="s">
        <v>100</v>
      </c>
    </row>
    <row r="12" spans="1:7" ht="42" customHeight="1">
      <c r="A12" s="3" t="s">
        <v>140</v>
      </c>
      <c r="B12" s="3" t="s">
        <v>28</v>
      </c>
      <c r="C12" s="3" t="s">
        <v>141</v>
      </c>
      <c r="D12" s="3" t="s">
        <v>142</v>
      </c>
      <c r="E12" s="3" t="s">
        <v>133</v>
      </c>
      <c r="F12" s="3" t="s">
        <v>143</v>
      </c>
      <c r="G12" s="3" t="s">
        <v>93</v>
      </c>
    </row>
    <row r="13" spans="1:7" ht="42" customHeight="1">
      <c r="A13" s="3" t="s">
        <v>144</v>
      </c>
      <c r="B13" s="3" t="s">
        <v>34</v>
      </c>
      <c r="C13" s="3" t="s">
        <v>145</v>
      </c>
      <c r="D13" s="3" t="s">
        <v>146</v>
      </c>
      <c r="E13" s="3" t="s">
        <v>147</v>
      </c>
      <c r="F13" s="3" t="s">
        <v>148</v>
      </c>
      <c r="G13" s="3" t="s">
        <v>100</v>
      </c>
    </row>
    <row r="14" spans="1:7" ht="42" customHeight="1">
      <c r="A14" s="3" t="s">
        <v>149</v>
      </c>
      <c r="B14" s="3" t="s">
        <v>47</v>
      </c>
      <c r="C14" s="3" t="s">
        <v>150</v>
      </c>
      <c r="D14" s="3" t="s">
        <v>151</v>
      </c>
      <c r="E14" s="3" t="s">
        <v>152</v>
      </c>
      <c r="F14" s="3" t="s">
        <v>153</v>
      </c>
      <c r="G14" s="3" t="s">
        <v>100</v>
      </c>
    </row>
    <row r="15" spans="1:7" ht="42" customHeight="1">
      <c r="A15" s="3" t="s">
        <v>154</v>
      </c>
      <c r="B15" s="3" t="s">
        <v>155</v>
      </c>
      <c r="C15" s="3" t="s">
        <v>156</v>
      </c>
      <c r="D15" s="3" t="s">
        <v>157</v>
      </c>
      <c r="E15" s="3" t="s">
        <v>114</v>
      </c>
      <c r="F15" s="3" t="s">
        <v>158</v>
      </c>
      <c r="G15" s="3" t="s">
        <v>93</v>
      </c>
    </row>
    <row r="16" spans="1:7" ht="42" customHeight="1">
      <c r="A16" s="3" t="s">
        <v>159</v>
      </c>
      <c r="B16" s="3" t="s">
        <v>155</v>
      </c>
      <c r="C16" s="3" t="s">
        <v>160</v>
      </c>
      <c r="D16" s="3" t="s">
        <v>161</v>
      </c>
      <c r="E16" s="3" t="s">
        <v>162</v>
      </c>
      <c r="F16" s="3" t="s">
        <v>163</v>
      </c>
      <c r="G16" s="3" t="s">
        <v>93</v>
      </c>
    </row>
    <row r="17" spans="1:7" ht="42" customHeight="1">
      <c r="A17" s="3" t="s">
        <v>164</v>
      </c>
      <c r="B17" s="3" t="s">
        <v>165</v>
      </c>
      <c r="C17" s="3" t="s">
        <v>166</v>
      </c>
      <c r="D17" s="3" t="s">
        <v>167</v>
      </c>
      <c r="E17" s="3" t="s">
        <v>168</v>
      </c>
      <c r="F17" s="3" t="s">
        <v>169</v>
      </c>
      <c r="G17" s="3" t="s">
        <v>170</v>
      </c>
    </row>
    <row r="18" spans="1:7" ht="42" customHeight="1">
      <c r="A18" s="3" t="s">
        <v>171</v>
      </c>
      <c r="B18" s="3" t="s">
        <v>165</v>
      </c>
      <c r="C18" s="3" t="s">
        <v>172</v>
      </c>
      <c r="D18" s="3" t="s">
        <v>173</v>
      </c>
      <c r="E18" s="3" t="s">
        <v>168</v>
      </c>
      <c r="F18" s="3" t="s">
        <v>174</v>
      </c>
      <c r="G18" s="3" t="s">
        <v>170</v>
      </c>
    </row>
    <row r="19" spans="1:7" ht="42" customHeight="1">
      <c r="A19" s="3" t="s">
        <v>175</v>
      </c>
      <c r="B19" s="3" t="s">
        <v>176</v>
      </c>
      <c r="C19" s="3" t="s">
        <v>177</v>
      </c>
      <c r="D19" s="3" t="s">
        <v>178</v>
      </c>
      <c r="E19" s="3" t="s">
        <v>104</v>
      </c>
      <c r="F19" s="3" t="s">
        <v>179</v>
      </c>
      <c r="G19" s="3" t="s">
        <v>180</v>
      </c>
    </row>
    <row r="20" spans="1:7" ht="42" customHeight="1">
      <c r="A20" s="3" t="s">
        <v>181</v>
      </c>
      <c r="B20" s="3" t="s">
        <v>176</v>
      </c>
      <c r="C20" s="3" t="s">
        <v>182</v>
      </c>
      <c r="D20" s="3" t="s">
        <v>183</v>
      </c>
      <c r="E20" s="3" t="s">
        <v>104</v>
      </c>
      <c r="F20" s="3" t="s">
        <v>184</v>
      </c>
      <c r="G20" s="3" t="s">
        <v>185</v>
      </c>
    </row>
    <row r="21" spans="1:7" ht="42" customHeight="1">
      <c r="A21" s="3" t="s">
        <v>186</v>
      </c>
      <c r="B21" s="3" t="s">
        <v>51</v>
      </c>
      <c r="C21" s="3" t="s">
        <v>187</v>
      </c>
      <c r="D21" s="3" t="s">
        <v>188</v>
      </c>
      <c r="E21" s="3" t="s">
        <v>189</v>
      </c>
      <c r="F21" s="3" t="s">
        <v>190</v>
      </c>
      <c r="G21" s="3" t="s">
        <v>93</v>
      </c>
    </row>
    <row r="22" spans="1:7" ht="42" customHeight="1">
      <c r="A22" s="3" t="s">
        <v>191</v>
      </c>
      <c r="B22" s="3" t="s">
        <v>192</v>
      </c>
      <c r="C22" s="3" t="s">
        <v>193</v>
      </c>
      <c r="D22" s="3" t="s">
        <v>194</v>
      </c>
      <c r="E22" s="3" t="s">
        <v>189</v>
      </c>
      <c r="F22" s="3" t="s">
        <v>195</v>
      </c>
      <c r="G22" s="3" t="s">
        <v>196</v>
      </c>
    </row>
    <row r="23" spans="1:7" ht="42" customHeight="1">
      <c r="A23" s="3" t="s">
        <v>197</v>
      </c>
      <c r="B23" s="3" t="s">
        <v>198</v>
      </c>
      <c r="C23" s="3" t="s">
        <v>199</v>
      </c>
      <c r="D23" s="3" t="s">
        <v>200</v>
      </c>
      <c r="E23" s="3" t="s">
        <v>104</v>
      </c>
      <c r="F23" s="3" t="s">
        <v>201</v>
      </c>
      <c r="G23" s="3" t="s">
        <v>170</v>
      </c>
    </row>
    <row r="24" spans="1:7" ht="42" customHeight="1">
      <c r="A24" s="3" t="s">
        <v>202</v>
      </c>
      <c r="B24" s="3" t="s">
        <v>203</v>
      </c>
      <c r="C24" s="3" t="s">
        <v>204</v>
      </c>
      <c r="D24" s="3" t="s">
        <v>205</v>
      </c>
      <c r="E24" s="3" t="s">
        <v>189</v>
      </c>
      <c r="F24" s="3" t="s">
        <v>206</v>
      </c>
      <c r="G24" s="3" t="s">
        <v>170</v>
      </c>
    </row>
    <row r="25" spans="1:7" ht="42" customHeight="1">
      <c r="A25" s="3" t="s">
        <v>207</v>
      </c>
      <c r="B25" s="3" t="s">
        <v>208</v>
      </c>
      <c r="C25" s="3" t="s">
        <v>209</v>
      </c>
      <c r="D25" s="3" t="s">
        <v>210</v>
      </c>
      <c r="E25" s="3" t="s">
        <v>168</v>
      </c>
      <c r="F25" s="3" t="s">
        <v>211</v>
      </c>
      <c r="G25" s="3" t="s">
        <v>170</v>
      </c>
    </row>
    <row r="26" spans="1:7" ht="42" customHeight="1">
      <c r="A26" s="3" t="s">
        <v>212</v>
      </c>
      <c r="B26" s="3" t="s">
        <v>72</v>
      </c>
      <c r="C26" s="3" t="s">
        <v>213</v>
      </c>
      <c r="D26" s="3" t="s">
        <v>214</v>
      </c>
      <c r="E26" s="3" t="s">
        <v>104</v>
      </c>
      <c r="F26" s="3" t="s">
        <v>215</v>
      </c>
      <c r="G26" s="3" t="s">
        <v>196</v>
      </c>
    </row>
    <row r="27" spans="1:7" ht="42" customHeight="1">
      <c r="A27" s="3" t="s">
        <v>216</v>
      </c>
      <c r="B27" s="3" t="s">
        <v>51</v>
      </c>
      <c r="C27" s="3" t="s">
        <v>217</v>
      </c>
      <c r="D27" s="3" t="s">
        <v>218</v>
      </c>
      <c r="E27" s="3" t="s">
        <v>219</v>
      </c>
      <c r="F27" s="3" t="s">
        <v>220</v>
      </c>
      <c r="G27" s="3" t="s">
        <v>110</v>
      </c>
    </row>
    <row r="28" spans="1:7" ht="42" customHeight="1">
      <c r="A28" s="3" t="s">
        <v>221</v>
      </c>
      <c r="B28" s="3" t="s">
        <v>51</v>
      </c>
      <c r="C28" s="3" t="s">
        <v>222</v>
      </c>
      <c r="D28" s="3" t="s">
        <v>223</v>
      </c>
      <c r="E28" s="3" t="s">
        <v>219</v>
      </c>
      <c r="F28" s="3" t="s">
        <v>224</v>
      </c>
      <c r="G28" s="3" t="s">
        <v>185</v>
      </c>
    </row>
    <row r="29" spans="1:7" ht="42" customHeight="1">
      <c r="A29" s="3" t="s">
        <v>225</v>
      </c>
      <c r="B29" s="3" t="s">
        <v>226</v>
      </c>
      <c r="C29" s="3" t="s">
        <v>227</v>
      </c>
      <c r="D29" s="3" t="s">
        <v>228</v>
      </c>
      <c r="E29" s="3"/>
      <c r="F29" s="3" t="s">
        <v>229</v>
      </c>
      <c r="G29" s="3" t="s">
        <v>230</v>
      </c>
    </row>
    <row r="30" spans="1:7" ht="42" customHeight="1">
      <c r="A30" s="3" t="s">
        <v>231</v>
      </c>
      <c r="B30" s="3" t="s">
        <v>232</v>
      </c>
      <c r="C30" s="3" t="s">
        <v>233</v>
      </c>
      <c r="D30" s="3" t="s">
        <v>234</v>
      </c>
      <c r="E30" s="3" t="s">
        <v>104</v>
      </c>
      <c r="F30" s="3" t="s">
        <v>235</v>
      </c>
      <c r="G30" s="3" t="s">
        <v>110</v>
      </c>
    </row>
    <row r="31" spans="1:7" ht="42" customHeight="1">
      <c r="A31" s="3" t="s">
        <v>236</v>
      </c>
      <c r="B31" s="3" t="s">
        <v>176</v>
      </c>
      <c r="C31" s="3" t="s">
        <v>237</v>
      </c>
      <c r="D31" s="3" t="s">
        <v>238</v>
      </c>
      <c r="E31" s="3" t="s">
        <v>104</v>
      </c>
      <c r="F31" s="3" t="s">
        <v>239</v>
      </c>
      <c r="G31" s="3" t="s">
        <v>93</v>
      </c>
    </row>
    <row r="32" spans="1:7" ht="42" customHeight="1">
      <c r="A32" s="3" t="s">
        <v>240</v>
      </c>
      <c r="B32" s="3" t="s">
        <v>176</v>
      </c>
      <c r="C32" s="3" t="s">
        <v>241</v>
      </c>
      <c r="D32" s="3" t="s">
        <v>242</v>
      </c>
      <c r="E32" s="3" t="s">
        <v>104</v>
      </c>
      <c r="F32" s="3" t="s">
        <v>243</v>
      </c>
      <c r="G32" s="3" t="s">
        <v>93</v>
      </c>
    </row>
    <row r="33" spans="1:7" ht="42" customHeight="1">
      <c r="A33" s="3" t="s">
        <v>244</v>
      </c>
      <c r="B33" s="3" t="s">
        <v>55</v>
      </c>
      <c r="C33" s="3" t="s">
        <v>245</v>
      </c>
      <c r="D33" s="3" t="s">
        <v>246</v>
      </c>
      <c r="E33" s="3" t="s">
        <v>104</v>
      </c>
      <c r="F33" s="3" t="s">
        <v>247</v>
      </c>
      <c r="G33" s="3" t="s">
        <v>93</v>
      </c>
    </row>
    <row r="34" spans="1:7" ht="42" customHeight="1">
      <c r="A34" s="3" t="s">
        <v>248</v>
      </c>
      <c r="B34" s="3" t="s">
        <v>60</v>
      </c>
      <c r="C34" s="3" t="s">
        <v>249</v>
      </c>
      <c r="D34" s="3" t="s">
        <v>250</v>
      </c>
      <c r="E34" s="3" t="s">
        <v>251</v>
      </c>
      <c r="F34" s="3" t="s">
        <v>252</v>
      </c>
      <c r="G34" s="3" t="s">
        <v>100</v>
      </c>
    </row>
    <row r="35" spans="1:7" ht="42" customHeight="1">
      <c r="A35" s="3" t="s">
        <v>253</v>
      </c>
      <c r="B35" s="3" t="s">
        <v>64</v>
      </c>
      <c r="C35" s="3" t="s">
        <v>254</v>
      </c>
      <c r="D35" s="3" t="s">
        <v>255</v>
      </c>
      <c r="E35" s="3" t="s">
        <v>256</v>
      </c>
      <c r="F35" s="3" t="s">
        <v>257</v>
      </c>
      <c r="G35" s="3" t="s">
        <v>170</v>
      </c>
    </row>
    <row r="36" spans="1:7" ht="42" customHeight="1">
      <c r="A36" s="3" t="s">
        <v>258</v>
      </c>
      <c r="B36" s="3" t="s">
        <v>68</v>
      </c>
      <c r="C36" s="3" t="s">
        <v>259</v>
      </c>
      <c r="D36" s="3" t="s">
        <v>188</v>
      </c>
      <c r="E36" s="3" t="s">
        <v>260</v>
      </c>
      <c r="F36" s="3" t="s">
        <v>261</v>
      </c>
      <c r="G36" s="3" t="s">
        <v>100</v>
      </c>
    </row>
    <row r="37" spans="1:7" ht="42" customHeight="1">
      <c r="A37" s="3" t="s">
        <v>262</v>
      </c>
      <c r="B37" s="3" t="s">
        <v>72</v>
      </c>
      <c r="C37" s="3" t="s">
        <v>263</v>
      </c>
      <c r="D37" s="3" t="s">
        <v>264</v>
      </c>
      <c r="E37" s="3" t="s">
        <v>265</v>
      </c>
      <c r="F37" s="3" t="s">
        <v>266</v>
      </c>
      <c r="G37" s="3" t="s">
        <v>110</v>
      </c>
    </row>
    <row r="38" spans="1:7" ht="42" customHeight="1">
      <c r="A38" s="3" t="s">
        <v>267</v>
      </c>
      <c r="B38" s="3" t="s">
        <v>68</v>
      </c>
      <c r="C38" s="3" t="s">
        <v>268</v>
      </c>
      <c r="D38" s="3" t="s">
        <v>269</v>
      </c>
      <c r="E38" s="3" t="s">
        <v>104</v>
      </c>
      <c r="F38" s="3" t="s">
        <v>270</v>
      </c>
      <c r="G38" s="3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3.7"/>
  <cols>
    <col min="1" max="1" width="17" customWidth="1"/>
    <col min="2" max="2" width="24" customWidth="1"/>
    <col min="3" max="4" width="34" customWidth="1"/>
    <col min="5" max="5" width="24" customWidth="1"/>
  </cols>
  <sheetData>
    <row r="1" spans="1:5" ht="32" customHeight="1">
      <c r="A1" s="2" t="s">
        <v>271</v>
      </c>
      <c r="B1" s="2" t="s">
        <v>272</v>
      </c>
      <c r="C1" s="2" t="s">
        <v>273</v>
      </c>
      <c r="D1" s="2" t="s">
        <v>274</v>
      </c>
      <c r="E1" s="2" t="s">
        <v>275</v>
      </c>
    </row>
    <row r="2" spans="1:5" ht="42" customHeight="1">
      <c r="A2" s="3" t="s">
        <v>276</v>
      </c>
      <c r="B2" s="3" t="s">
        <v>277</v>
      </c>
      <c r="C2" s="3" t="s">
        <v>278</v>
      </c>
      <c r="D2" s="3" t="s">
        <v>279</v>
      </c>
      <c r="E2" s="3" t="s">
        <v>280</v>
      </c>
    </row>
    <row r="3" spans="1:5" ht="42" customHeight="1">
      <c r="A3" s="3" t="s">
        <v>281</v>
      </c>
      <c r="B3" s="3" t="s">
        <v>282</v>
      </c>
      <c r="C3" s="3" t="s">
        <v>283</v>
      </c>
      <c r="D3" s="3" t="s">
        <v>284</v>
      </c>
      <c r="E3" s="3" t="s">
        <v>285</v>
      </c>
    </row>
    <row r="4" spans="1:5" ht="42" customHeight="1">
      <c r="A4" s="3" t="s">
        <v>286</v>
      </c>
      <c r="B4" s="3" t="s">
        <v>277</v>
      </c>
      <c r="C4" s="3" t="s">
        <v>287</v>
      </c>
      <c r="D4" s="3" t="s">
        <v>288</v>
      </c>
      <c r="E4" s="3" t="s">
        <v>289</v>
      </c>
    </row>
    <row r="5" spans="1:5" ht="42" customHeight="1">
      <c r="A5" s="3" t="s">
        <v>290</v>
      </c>
      <c r="B5" s="3" t="s">
        <v>277</v>
      </c>
      <c r="C5" s="3" t="s">
        <v>291</v>
      </c>
      <c r="D5" s="3" t="s">
        <v>292</v>
      </c>
      <c r="E5" s="3" t="s">
        <v>293</v>
      </c>
    </row>
    <row r="6" spans="1:5" ht="42" customHeight="1">
      <c r="A6" s="3" t="s">
        <v>294</v>
      </c>
      <c r="B6" s="3" t="s">
        <v>282</v>
      </c>
      <c r="C6" s="3" t="s">
        <v>295</v>
      </c>
      <c r="D6" s="3" t="s">
        <v>296</v>
      </c>
      <c r="E6" s="3" t="s">
        <v>297</v>
      </c>
    </row>
    <row r="7" spans="1:5" ht="42" customHeight="1">
      <c r="A7" s="3" t="s">
        <v>298</v>
      </c>
      <c r="B7" s="3" t="s">
        <v>282</v>
      </c>
      <c r="C7" s="3" t="s">
        <v>299</v>
      </c>
      <c r="D7" s="3" t="s">
        <v>300</v>
      </c>
      <c r="E7" s="3" t="s">
        <v>301</v>
      </c>
    </row>
    <row r="8" spans="1:5" ht="42" customHeight="1">
      <c r="A8" s="3" t="s">
        <v>302</v>
      </c>
      <c r="B8" s="3" t="s">
        <v>282</v>
      </c>
      <c r="C8" s="3" t="s">
        <v>303</v>
      </c>
      <c r="D8" s="3" t="s">
        <v>304</v>
      </c>
      <c r="E8" s="3" t="s">
        <v>305</v>
      </c>
    </row>
    <row r="9" spans="1:5" ht="42" customHeight="1">
      <c r="A9" s="3" t="s">
        <v>306</v>
      </c>
      <c r="B9" s="3" t="s">
        <v>282</v>
      </c>
      <c r="C9" s="3" t="s">
        <v>307</v>
      </c>
      <c r="D9" s="3" t="s">
        <v>308</v>
      </c>
      <c r="E9" s="3" t="s">
        <v>309</v>
      </c>
    </row>
    <row r="10" spans="1:5" ht="42" customHeight="1">
      <c r="A10" s="3" t="s">
        <v>310</v>
      </c>
      <c r="B10" s="3" t="s">
        <v>282</v>
      </c>
      <c r="C10" s="3" t="s">
        <v>311</v>
      </c>
      <c r="D10" s="3" t="s">
        <v>312</v>
      </c>
      <c r="E10" s="3" t="s">
        <v>313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5" activePane="bottomLeft" state="frozen"/>
      <selection pane="bottomLeft"/>
    </sheetView>
  </sheetViews>
  <sheetFormatPr defaultRowHeight="13.7"/>
  <cols>
    <col min="1" max="1" width="17" customWidth="1"/>
    <col min="2" max="2" width="24" customWidth="1"/>
    <col min="3" max="3" width="34" customWidth="1"/>
    <col min="4" max="4" width="24" customWidth="1"/>
  </cols>
  <sheetData>
    <row r="1" spans="1:4" ht="32" customHeight="1">
      <c r="A1" s="2" t="s">
        <v>314</v>
      </c>
      <c r="B1" s="2" t="s">
        <v>315</v>
      </c>
      <c r="C1" s="2" t="s">
        <v>316</v>
      </c>
      <c r="D1" s="2" t="s">
        <v>317</v>
      </c>
    </row>
    <row r="2" spans="1:4" ht="55" customHeight="1">
      <c r="A2" s="3" t="s">
        <v>318</v>
      </c>
      <c r="B2" s="3" t="s">
        <v>319</v>
      </c>
      <c r="C2" s="3" t="s">
        <v>320</v>
      </c>
      <c r="D2" s="3" t="s">
        <v>321</v>
      </c>
    </row>
    <row r="3" spans="1:4" ht="55" customHeight="1">
      <c r="A3" s="3" t="s">
        <v>322</v>
      </c>
      <c r="B3" s="3" t="s">
        <v>323</v>
      </c>
      <c r="C3" s="3" t="s">
        <v>324</v>
      </c>
      <c r="D3" s="3" t="s">
        <v>325</v>
      </c>
    </row>
    <row r="4" spans="1:4" ht="55" customHeight="1">
      <c r="A4" s="3" t="s">
        <v>326</v>
      </c>
      <c r="B4" s="3" t="s">
        <v>327</v>
      </c>
      <c r="C4" s="3" t="s">
        <v>328</v>
      </c>
      <c r="D4" s="3" t="s">
        <v>329</v>
      </c>
    </row>
    <row r="5" spans="1:4" ht="55" customHeight="1">
      <c r="A5" s="3" t="s">
        <v>330</v>
      </c>
      <c r="B5" s="3" t="s">
        <v>331</v>
      </c>
      <c r="C5" s="3" t="s">
        <v>332</v>
      </c>
      <c r="D5" s="3" t="s">
        <v>333</v>
      </c>
    </row>
    <row r="6" spans="1:4" ht="55" customHeight="1">
      <c r="A6" s="3" t="s">
        <v>334</v>
      </c>
      <c r="B6" s="3" t="s">
        <v>335</v>
      </c>
      <c r="C6" s="3" t="s">
        <v>336</v>
      </c>
      <c r="D6" s="3" t="s">
        <v>337</v>
      </c>
    </row>
    <row r="7" spans="1:4" ht="55" customHeight="1">
      <c r="A7" s="3" t="s">
        <v>338</v>
      </c>
      <c r="B7" s="3" t="s">
        <v>339</v>
      </c>
      <c r="C7" s="3" t="s">
        <v>340</v>
      </c>
      <c r="D7" s="3" t="s">
        <v>341</v>
      </c>
    </row>
    <row r="8" spans="1:4" ht="55" customHeight="1">
      <c r="A8" s="3" t="s">
        <v>342</v>
      </c>
      <c r="B8" s="3" t="s">
        <v>343</v>
      </c>
      <c r="C8" s="3" t="s">
        <v>344</v>
      </c>
      <c r="D8" s="3" t="s">
        <v>345</v>
      </c>
    </row>
    <row r="9" spans="1:4" ht="55" customHeight="1">
      <c r="A9" s="3" t="s">
        <v>346</v>
      </c>
      <c r="B9" s="3" t="s">
        <v>347</v>
      </c>
      <c r="C9" s="3" t="s">
        <v>348</v>
      </c>
      <c r="D9" s="3" t="s">
        <v>349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1" topLeftCell="A8" activePane="bottomLeft" state="frozen"/>
      <selection pane="bottomLeft"/>
    </sheetView>
  </sheetViews>
  <sheetFormatPr defaultRowHeight="13.7"/>
  <cols>
    <col min="1" max="1" width="17" customWidth="1"/>
    <col min="2" max="2" width="24" customWidth="1"/>
    <col min="3" max="3" width="34" customWidth="1"/>
    <col min="4" max="4" width="24" customWidth="1"/>
  </cols>
  <sheetData>
    <row r="1" spans="1:4" ht="32" customHeight="1">
      <c r="A1" s="2" t="s">
        <v>350</v>
      </c>
      <c r="B1" s="2" t="s">
        <v>351</v>
      </c>
      <c r="C1" s="2" t="s">
        <v>352</v>
      </c>
      <c r="D1" s="2" t="s">
        <v>353</v>
      </c>
    </row>
    <row r="2" spans="1:4" ht="55" customHeight="1">
      <c r="A2" s="3" t="s">
        <v>354</v>
      </c>
      <c r="B2" s="3" t="s">
        <v>355</v>
      </c>
      <c r="C2" s="3" t="s">
        <v>356</v>
      </c>
      <c r="D2" s="3" t="s">
        <v>357</v>
      </c>
    </row>
    <row r="3" spans="1:4" ht="55" customHeight="1">
      <c r="A3" s="3" t="s">
        <v>358</v>
      </c>
      <c r="B3" s="3" t="s">
        <v>359</v>
      </c>
      <c r="C3" s="3" t="s">
        <v>360</v>
      </c>
      <c r="D3" s="3" t="s">
        <v>361</v>
      </c>
    </row>
    <row r="4" spans="1:4" ht="55" customHeight="1">
      <c r="A4" s="3" t="s">
        <v>362</v>
      </c>
      <c r="B4" s="3" t="s">
        <v>363</v>
      </c>
      <c r="C4" s="3" t="s">
        <v>364</v>
      </c>
      <c r="D4" s="3" t="s">
        <v>365</v>
      </c>
    </row>
    <row r="5" spans="1:4" ht="55" customHeight="1">
      <c r="A5" s="3" t="s">
        <v>366</v>
      </c>
      <c r="B5" s="3" t="s">
        <v>367</v>
      </c>
      <c r="C5" s="3" t="s">
        <v>368</v>
      </c>
      <c r="D5" s="3" t="s">
        <v>369</v>
      </c>
    </row>
    <row r="6" spans="1:4" ht="55" customHeight="1">
      <c r="A6" s="3" t="s">
        <v>370</v>
      </c>
      <c r="B6" s="3" t="s">
        <v>371</v>
      </c>
      <c r="C6" s="3" t="s">
        <v>372</v>
      </c>
      <c r="D6" s="3" t="s">
        <v>373</v>
      </c>
    </row>
    <row r="7" spans="1:4" ht="55" customHeight="1">
      <c r="A7" s="3" t="s">
        <v>374</v>
      </c>
      <c r="B7" s="3" t="s">
        <v>375</v>
      </c>
      <c r="C7" s="3" t="s">
        <v>376</v>
      </c>
      <c r="D7" s="3" t="s">
        <v>377</v>
      </c>
    </row>
    <row r="8" spans="1:4" ht="55" customHeight="1">
      <c r="A8" s="3" t="s">
        <v>378</v>
      </c>
      <c r="B8" s="3" t="s">
        <v>379</v>
      </c>
      <c r="C8" s="3" t="s">
        <v>380</v>
      </c>
      <c r="D8" s="3" t="s">
        <v>381</v>
      </c>
    </row>
    <row r="9" spans="1:4" ht="55" customHeight="1">
      <c r="A9" s="3" t="s">
        <v>382</v>
      </c>
      <c r="B9" s="3" t="s">
        <v>383</v>
      </c>
      <c r="C9" s="3" t="s">
        <v>384</v>
      </c>
      <c r="D9" s="3" t="s">
        <v>385</v>
      </c>
    </row>
    <row r="10" spans="1:4" ht="55" customHeight="1">
      <c r="A10" s="3" t="s">
        <v>386</v>
      </c>
      <c r="B10" s="3" t="s">
        <v>387</v>
      </c>
      <c r="C10" s="3" t="s">
        <v>388</v>
      </c>
      <c r="D10" s="3" t="s">
        <v>389</v>
      </c>
    </row>
    <row r="11" spans="1:4" ht="55" customHeight="1">
      <c r="A11" s="3" t="s">
        <v>390</v>
      </c>
      <c r="B11" s="3" t="s">
        <v>391</v>
      </c>
      <c r="C11" s="3" t="s">
        <v>392</v>
      </c>
      <c r="D11" s="3" t="s">
        <v>393</v>
      </c>
    </row>
    <row r="12" spans="1:4" ht="55" customHeight="1">
      <c r="A12" s="3" t="s">
        <v>394</v>
      </c>
      <c r="B12" s="3" t="s">
        <v>395</v>
      </c>
      <c r="C12" s="3" t="s">
        <v>396</v>
      </c>
      <c r="D12" s="3" t="s">
        <v>397</v>
      </c>
    </row>
    <row r="13" spans="1:4" ht="55" customHeight="1">
      <c r="A13" s="3" t="s">
        <v>398</v>
      </c>
      <c r="B13" s="3" t="s">
        <v>399</v>
      </c>
      <c r="C13" s="3" t="s">
        <v>400</v>
      </c>
      <c r="D13" s="3" t="s">
        <v>401</v>
      </c>
    </row>
    <row r="14" spans="1:4" ht="55" customHeight="1">
      <c r="A14" s="3" t="s">
        <v>402</v>
      </c>
      <c r="B14" s="3" t="s">
        <v>403</v>
      </c>
      <c r="C14" s="3" t="s">
        <v>404</v>
      </c>
      <c r="D14" s="3" t="s">
        <v>405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3.7"/>
  <cols>
    <col min="1" max="1" width="17" customWidth="1"/>
    <col min="2" max="3" width="24" customWidth="1"/>
  </cols>
  <sheetData>
    <row r="1" spans="1:3" ht="32" customHeight="1">
      <c r="A1" s="2" t="s">
        <v>22</v>
      </c>
      <c r="B1" s="2" t="s">
        <v>406</v>
      </c>
      <c r="C1" s="2" t="s">
        <v>407</v>
      </c>
    </row>
    <row r="2" spans="1:3" ht="55" customHeight="1">
      <c r="A2" s="3" t="s">
        <v>408</v>
      </c>
      <c r="B2" s="3" t="s">
        <v>409</v>
      </c>
      <c r="C2" s="3" t="s">
        <v>410</v>
      </c>
    </row>
    <row r="3" spans="1:3" ht="55" customHeight="1">
      <c r="A3" s="3" t="s">
        <v>411</v>
      </c>
      <c r="B3" s="3" t="s">
        <v>412</v>
      </c>
      <c r="C3" s="3" t="s">
        <v>413</v>
      </c>
    </row>
    <row r="4" spans="1:3" ht="55" customHeight="1">
      <c r="A4" s="3" t="s">
        <v>414</v>
      </c>
      <c r="B4" s="3" t="s">
        <v>415</v>
      </c>
      <c r="C4" s="3" t="s">
        <v>416</v>
      </c>
    </row>
    <row r="5" spans="1:3" ht="55" customHeight="1">
      <c r="A5" s="3" t="s">
        <v>417</v>
      </c>
      <c r="B5" s="3" t="s">
        <v>418</v>
      </c>
      <c r="C5" s="3" t="s">
        <v>419</v>
      </c>
    </row>
    <row r="6" spans="1:3" ht="55" customHeight="1">
      <c r="A6" s="3" t="s">
        <v>420</v>
      </c>
      <c r="B6" s="3" t="s">
        <v>421</v>
      </c>
      <c r="C6" s="3" t="s">
        <v>422</v>
      </c>
    </row>
    <row r="7" spans="1:3" ht="55" customHeight="1">
      <c r="A7" s="3" t="s">
        <v>423</v>
      </c>
      <c r="B7" s="3" t="s">
        <v>424</v>
      </c>
      <c r="C7" s="3" t="s">
        <v>425</v>
      </c>
    </row>
    <row r="8" spans="1:3" ht="55" customHeight="1">
      <c r="A8" s="3" t="s">
        <v>426</v>
      </c>
      <c r="B8" s="3" t="s">
        <v>427</v>
      </c>
      <c r="C8" s="3" t="s">
        <v>428</v>
      </c>
    </row>
    <row r="9" spans="1:3" ht="55" customHeight="1">
      <c r="A9" s="3" t="s">
        <v>429</v>
      </c>
      <c r="B9" s="3" t="s">
        <v>430</v>
      </c>
      <c r="C9" s="3" t="s">
        <v>431</v>
      </c>
    </row>
    <row r="10" spans="1:3" ht="55" customHeight="1">
      <c r="A10" s="3" t="s">
        <v>432</v>
      </c>
      <c r="B10" s="3" t="s">
        <v>433</v>
      </c>
      <c r="C10" s="3" t="s">
        <v>434</v>
      </c>
    </row>
    <row r="11" spans="1:3" ht="55" customHeight="1">
      <c r="A11" s="3" t="s">
        <v>435</v>
      </c>
      <c r="B11" s="3" t="s">
        <v>436</v>
      </c>
      <c r="C11" s="3" t="s">
        <v>437</v>
      </c>
    </row>
    <row r="12" spans="1:3" ht="55" customHeight="1">
      <c r="A12" s="3" t="s">
        <v>438</v>
      </c>
      <c r="B12" s="3" t="s">
        <v>439</v>
      </c>
      <c r="C12" s="3" t="s">
        <v>440</v>
      </c>
    </row>
    <row r="13" spans="1:3" ht="55" customHeight="1">
      <c r="A13" s="3" t="s">
        <v>441</v>
      </c>
      <c r="B13" s="3" t="s">
        <v>442</v>
      </c>
      <c r="C13" s="3" t="s">
        <v>443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3.7"/>
  <cols>
    <col min="1" max="1" width="17" customWidth="1"/>
    <col min="2" max="2" width="24" customWidth="1"/>
    <col min="3" max="4" width="34" customWidth="1"/>
    <col min="5" max="5" width="24" customWidth="1"/>
  </cols>
  <sheetData>
    <row r="1" spans="1:5" ht="32" customHeight="1">
      <c r="A1" s="2" t="s">
        <v>22</v>
      </c>
      <c r="B1" s="2" t="s">
        <v>444</v>
      </c>
      <c r="C1" s="2" t="s">
        <v>445</v>
      </c>
      <c r="D1" s="2" t="s">
        <v>27</v>
      </c>
      <c r="E1" s="2" t="s">
        <v>446</v>
      </c>
    </row>
    <row r="2" spans="1:5" ht="42" customHeight="1">
      <c r="A2" s="3" t="s">
        <v>447</v>
      </c>
      <c r="B2" s="3" t="s">
        <v>448</v>
      </c>
      <c r="C2" s="3" t="s">
        <v>110</v>
      </c>
      <c r="D2" s="3" t="s">
        <v>449</v>
      </c>
      <c r="E2" s="3" t="s">
        <v>450</v>
      </c>
    </row>
    <row r="3" spans="1:5" ht="42" customHeight="1">
      <c r="A3" s="3" t="s">
        <v>451</v>
      </c>
      <c r="B3" s="3" t="s">
        <v>452</v>
      </c>
      <c r="C3" s="3" t="s">
        <v>110</v>
      </c>
      <c r="D3" s="3" t="s">
        <v>453</v>
      </c>
      <c r="E3" s="3" t="s">
        <v>454</v>
      </c>
    </row>
    <row r="4" spans="1:5" ht="42" customHeight="1">
      <c r="A4" s="3" t="s">
        <v>455</v>
      </c>
      <c r="B4" s="3" t="s">
        <v>456</v>
      </c>
      <c r="C4" s="3" t="s">
        <v>457</v>
      </c>
      <c r="D4" s="3" t="s">
        <v>458</v>
      </c>
      <c r="E4" s="3" t="s">
        <v>459</v>
      </c>
    </row>
    <row r="5" spans="1:5" ht="42" customHeight="1">
      <c r="A5" s="3" t="s">
        <v>460</v>
      </c>
      <c r="B5" s="3" t="s">
        <v>461</v>
      </c>
      <c r="C5" s="3" t="s">
        <v>457</v>
      </c>
      <c r="D5" s="3" t="s">
        <v>462</v>
      </c>
      <c r="E5" s="3" t="s">
        <v>463</v>
      </c>
    </row>
    <row r="6" spans="1:5" ht="42" customHeight="1">
      <c r="A6" s="3" t="s">
        <v>464</v>
      </c>
      <c r="B6" s="3" t="s">
        <v>465</v>
      </c>
      <c r="C6" s="3" t="s">
        <v>457</v>
      </c>
      <c r="D6" s="3" t="s">
        <v>466</v>
      </c>
      <c r="E6" s="3" t="s">
        <v>467</v>
      </c>
    </row>
    <row r="7" spans="1:5" ht="42" customHeight="1">
      <c r="A7" s="3" t="s">
        <v>468</v>
      </c>
      <c r="B7" s="3" t="s">
        <v>469</v>
      </c>
      <c r="C7" s="3" t="s">
        <v>457</v>
      </c>
      <c r="D7" s="3" t="s">
        <v>470</v>
      </c>
      <c r="E7" s="3" t="s">
        <v>471</v>
      </c>
    </row>
    <row r="8" spans="1:5" ht="42" customHeight="1">
      <c r="A8" s="3" t="s">
        <v>472</v>
      </c>
      <c r="B8" s="3" t="s">
        <v>473</v>
      </c>
      <c r="C8" s="3" t="s">
        <v>457</v>
      </c>
      <c r="D8" s="3" t="s">
        <v>474</v>
      </c>
      <c r="E8" s="3" t="s">
        <v>475</v>
      </c>
    </row>
    <row r="9" spans="1:5" ht="42" customHeight="1">
      <c r="A9" s="3" t="s">
        <v>476</v>
      </c>
      <c r="B9" s="3" t="s">
        <v>477</v>
      </c>
      <c r="C9" s="3" t="s">
        <v>478</v>
      </c>
      <c r="D9" s="3" t="s">
        <v>479</v>
      </c>
      <c r="E9" s="3" t="s">
        <v>480</v>
      </c>
    </row>
    <row r="10" spans="1:5" ht="42" customHeight="1">
      <c r="A10" s="3" t="s">
        <v>481</v>
      </c>
      <c r="B10" s="3" t="s">
        <v>482</v>
      </c>
      <c r="C10" s="3" t="s">
        <v>478</v>
      </c>
      <c r="D10" s="3" t="s">
        <v>483</v>
      </c>
      <c r="E10" s="3" t="s">
        <v>484</v>
      </c>
    </row>
    <row r="11" spans="1:5" ht="42" customHeight="1">
      <c r="A11" s="3" t="s">
        <v>485</v>
      </c>
      <c r="B11" s="3" t="s">
        <v>486</v>
      </c>
      <c r="C11" s="3" t="s">
        <v>487</v>
      </c>
      <c r="D11" s="3" t="s">
        <v>488</v>
      </c>
      <c r="E11" s="3" t="s">
        <v>489</v>
      </c>
    </row>
    <row r="12" spans="1:5" ht="42" customHeight="1">
      <c r="A12" s="3" t="s">
        <v>490</v>
      </c>
      <c r="B12" s="3" t="s">
        <v>491</v>
      </c>
      <c r="C12" s="3" t="s">
        <v>487</v>
      </c>
      <c r="D12" s="3" t="s">
        <v>492</v>
      </c>
      <c r="E12" s="3" t="s">
        <v>493</v>
      </c>
    </row>
    <row r="13" spans="1:5" ht="42" customHeight="1">
      <c r="A13" s="3" t="s">
        <v>494</v>
      </c>
      <c r="B13" s="3" t="s">
        <v>495</v>
      </c>
      <c r="C13" s="3" t="s">
        <v>110</v>
      </c>
      <c r="D13" s="3" t="s">
        <v>496</v>
      </c>
      <c r="E13" s="3" t="s">
        <v>497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3.7"/>
  <cols>
    <col min="1" max="1" width="17" customWidth="1"/>
    <col min="2" max="3" width="24" customWidth="1"/>
  </cols>
  <sheetData>
    <row r="1" spans="1:3" ht="32" customHeight="1">
      <c r="A1" s="2" t="s">
        <v>271</v>
      </c>
      <c r="B1" s="2" t="s">
        <v>498</v>
      </c>
      <c r="C1" s="2" t="s">
        <v>499</v>
      </c>
    </row>
    <row r="2" spans="1:3" ht="55" customHeight="1">
      <c r="A2" s="3" t="s">
        <v>500</v>
      </c>
      <c r="B2" s="3" t="s">
        <v>501</v>
      </c>
      <c r="C2" s="3" t="s">
        <v>502</v>
      </c>
    </row>
    <row r="3" spans="1:3" ht="55" customHeight="1">
      <c r="A3" s="3" t="s">
        <v>503</v>
      </c>
      <c r="B3" s="3" t="s">
        <v>504</v>
      </c>
      <c r="C3" s="3" t="s">
        <v>505</v>
      </c>
    </row>
    <row r="4" spans="1:3" ht="55" customHeight="1">
      <c r="A4" s="3" t="s">
        <v>506</v>
      </c>
      <c r="B4" s="3" t="s">
        <v>507</v>
      </c>
      <c r="C4" s="3" t="s">
        <v>508</v>
      </c>
    </row>
    <row r="5" spans="1:3" ht="55" customHeight="1">
      <c r="A5" s="3" t="s">
        <v>509</v>
      </c>
      <c r="B5" s="3" t="s">
        <v>510</v>
      </c>
      <c r="C5" s="3" t="s">
        <v>511</v>
      </c>
    </row>
    <row r="6" spans="1:3" ht="55" customHeight="1">
      <c r="A6" s="3" t="s">
        <v>512</v>
      </c>
      <c r="B6" s="3" t="s">
        <v>513</v>
      </c>
      <c r="C6" s="3" t="s">
        <v>514</v>
      </c>
    </row>
    <row r="7" spans="1:3" ht="55" customHeight="1">
      <c r="A7" s="3" t="s">
        <v>515</v>
      </c>
      <c r="B7" s="3" t="s">
        <v>516</v>
      </c>
      <c r="C7" s="3" t="s">
        <v>517</v>
      </c>
    </row>
    <row r="8" spans="1:3" ht="55" customHeight="1">
      <c r="A8" s="3" t="s">
        <v>518</v>
      </c>
      <c r="B8" s="3" t="s">
        <v>519</v>
      </c>
      <c r="C8" s="3" t="s">
        <v>520</v>
      </c>
    </row>
    <row r="9" spans="1:3" ht="55" customHeight="1">
      <c r="A9" s="3" t="s">
        <v>521</v>
      </c>
      <c r="B9" s="3" t="s">
        <v>522</v>
      </c>
      <c r="C9" s="3" t="s">
        <v>523</v>
      </c>
    </row>
    <row r="10" spans="1:3" ht="55" customHeight="1">
      <c r="A10" s="3" t="s">
        <v>524</v>
      </c>
      <c r="B10" s="3" t="s">
        <v>525</v>
      </c>
      <c r="C10" s="3" t="s">
        <v>526</v>
      </c>
    </row>
    <row r="11" spans="1:3" ht="55" customHeight="1">
      <c r="A11" s="3" t="s">
        <v>521</v>
      </c>
      <c r="B11" s="3" t="s">
        <v>527</v>
      </c>
      <c r="C11" s="3" t="s">
        <v>528</v>
      </c>
    </row>
    <row r="12" spans="1:3" ht="55" customHeight="1">
      <c r="A12" s="3" t="s">
        <v>529</v>
      </c>
      <c r="B12" s="3" t="s">
        <v>530</v>
      </c>
      <c r="C12" s="3" t="s">
        <v>531</v>
      </c>
    </row>
    <row r="13" spans="1:3" ht="55" customHeight="1">
      <c r="A13" s="3" t="s">
        <v>532</v>
      </c>
      <c r="B13" s="3" t="s">
        <v>533</v>
      </c>
      <c r="C13" s="3" t="s">
        <v>523</v>
      </c>
    </row>
    <row r="14" spans="1:3" ht="55" customHeight="1">
      <c r="A14" s="3" t="s">
        <v>534</v>
      </c>
      <c r="B14" s="3" t="s">
        <v>535</v>
      </c>
      <c r="C14" s="3" t="s">
        <v>514</v>
      </c>
    </row>
    <row r="15" spans="1:3" ht="55" customHeight="1">
      <c r="A15" s="3" t="s">
        <v>536</v>
      </c>
      <c r="B15" s="3" t="s">
        <v>537</v>
      </c>
      <c r="C15" s="3" t="s">
        <v>538</v>
      </c>
    </row>
    <row r="16" spans="1:3" ht="55" customHeight="1">
      <c r="A16" s="3" t="s">
        <v>539</v>
      </c>
      <c r="B16" s="3" t="s">
        <v>540</v>
      </c>
      <c r="C16" s="3" t="s">
        <v>523</v>
      </c>
    </row>
    <row r="17" spans="1:3" ht="55" customHeight="1">
      <c r="A17" s="3" t="s">
        <v>541</v>
      </c>
      <c r="B17" s="3" t="s">
        <v>542</v>
      </c>
      <c r="C17" s="3" t="s">
        <v>543</v>
      </c>
    </row>
    <row r="18" spans="1:3" ht="55" customHeight="1">
      <c r="A18" s="3" t="s">
        <v>544</v>
      </c>
      <c r="B18" s="3" t="s">
        <v>545</v>
      </c>
      <c r="C18" s="3" t="s">
        <v>523</v>
      </c>
    </row>
    <row r="19" spans="1:3" ht="55" customHeight="1">
      <c r="A19" s="3" t="s">
        <v>546</v>
      </c>
      <c r="B19" s="3" t="s">
        <v>547</v>
      </c>
      <c r="C19" s="3" t="s">
        <v>517</v>
      </c>
    </row>
    <row r="20" spans="1:3" ht="55" customHeight="1">
      <c r="A20" s="3" t="s">
        <v>548</v>
      </c>
      <c r="B20" s="3" t="s">
        <v>549</v>
      </c>
      <c r="C20" s="3" t="s">
        <v>523</v>
      </c>
    </row>
    <row r="21" spans="1:3" ht="55" customHeight="1">
      <c r="A21" s="3" t="s">
        <v>550</v>
      </c>
      <c r="B21" s="3" t="s">
        <v>551</v>
      </c>
      <c r="C21" s="3" t="s">
        <v>517</v>
      </c>
    </row>
    <row r="22" spans="1:3" ht="55" customHeight="1">
      <c r="A22" s="3" t="s">
        <v>552</v>
      </c>
      <c r="B22" s="3" t="s">
        <v>553</v>
      </c>
      <c r="C22" s="3" t="s">
        <v>517</v>
      </c>
    </row>
    <row r="23" spans="1:3" ht="55" customHeight="1">
      <c r="A23" s="3" t="s">
        <v>554</v>
      </c>
      <c r="B23" s="3" t="s">
        <v>555</v>
      </c>
      <c r="C23" s="3" t="s">
        <v>556</v>
      </c>
    </row>
    <row r="24" spans="1:3" ht="55" customHeight="1">
      <c r="A24" s="3" t="s">
        <v>557</v>
      </c>
      <c r="B24" s="3" t="s">
        <v>558</v>
      </c>
      <c r="C24" s="3" t="s">
        <v>556</v>
      </c>
    </row>
    <row r="25" spans="1:3" ht="55" customHeight="1">
      <c r="A25" s="3" t="s">
        <v>559</v>
      </c>
      <c r="B25" s="3" t="s">
        <v>560</v>
      </c>
      <c r="C25" s="3" t="s">
        <v>561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2"/>
  <sheetViews>
    <sheetView topLeftCell="I1" workbookViewId="0">
      <pane ySplit="1" topLeftCell="A5" activePane="bottomLeft" state="frozen"/>
      <selection pane="bottomLeft"/>
    </sheetView>
  </sheetViews>
  <sheetFormatPr defaultRowHeight="13.7"/>
  <cols>
    <col min="1" max="1" width="12" customWidth="1"/>
    <col min="2" max="2" width="34" customWidth="1"/>
    <col min="3" max="3" width="52" customWidth="1"/>
    <col min="4" max="4" width="35" customWidth="1"/>
    <col min="5" max="6" width="16" customWidth="1"/>
    <col min="7" max="9" width="42" customWidth="1"/>
    <col min="10" max="21" width="17" customWidth="1"/>
  </cols>
  <sheetData>
    <row r="1" spans="1:21" ht="31" customHeight="1">
      <c r="A1" s="4" t="s">
        <v>562</v>
      </c>
      <c r="B1" s="4" t="s">
        <v>563</v>
      </c>
      <c r="C1" s="4" t="s">
        <v>564</v>
      </c>
      <c r="D1" s="4" t="s">
        <v>565</v>
      </c>
      <c r="E1" s="4" t="s">
        <v>566</v>
      </c>
      <c r="F1" s="4" t="s">
        <v>567</v>
      </c>
      <c r="G1" s="4" t="s">
        <v>568</v>
      </c>
      <c r="H1" s="4" t="s">
        <v>569</v>
      </c>
      <c r="I1" s="4" t="s">
        <v>570</v>
      </c>
      <c r="J1" s="4" t="s">
        <v>571</v>
      </c>
      <c r="K1" s="4" t="s">
        <v>572</v>
      </c>
      <c r="L1" s="4" t="s">
        <v>573</v>
      </c>
      <c r="M1" s="4" t="s">
        <v>574</v>
      </c>
      <c r="N1" s="4" t="s">
        <v>575</v>
      </c>
      <c r="O1" s="4" t="s">
        <v>576</v>
      </c>
      <c r="P1" s="4" t="s">
        <v>577</v>
      </c>
      <c r="Q1" s="4" t="s">
        <v>578</v>
      </c>
      <c r="R1" s="4" t="s">
        <v>579</v>
      </c>
      <c r="S1" s="4" t="s">
        <v>580</v>
      </c>
      <c r="T1" s="4" t="s">
        <v>581</v>
      </c>
      <c r="U1" s="4" t="s">
        <v>582</v>
      </c>
    </row>
    <row r="2" spans="1:21">
      <c r="A2" t="s">
        <v>583</v>
      </c>
      <c r="B2" t="s">
        <v>584</v>
      </c>
      <c r="C2" t="s">
        <v>585</v>
      </c>
      <c r="D2" t="s">
        <v>586</v>
      </c>
      <c r="E2">
        <v>1</v>
      </c>
      <c r="F2" t="s">
        <v>587</v>
      </c>
      <c r="G2" t="s">
        <v>588</v>
      </c>
      <c r="I2" t="s">
        <v>589</v>
      </c>
      <c r="J2" s="5">
        <v>0.24</v>
      </c>
      <c r="K2" s="5">
        <v>0.15</v>
      </c>
      <c r="L2" s="5">
        <v>0.1</v>
      </c>
      <c r="M2" s="5">
        <v>0.24</v>
      </c>
      <c r="N2" s="5">
        <v>0.15</v>
      </c>
      <c r="O2" s="5">
        <v>0.1</v>
      </c>
      <c r="P2" s="5">
        <f t="shared" ref="P2:P33" si="0">E2*10*M2</f>
        <v>2.4</v>
      </c>
      <c r="Q2" s="5">
        <f t="shared" ref="Q2:Q33" si="1">E2*100*N2</f>
        <v>15</v>
      </c>
      <c r="R2" s="5">
        <f t="shared" ref="R2:R33" si="2">E2*1000*O2</f>
        <v>100</v>
      </c>
      <c r="S2" s="5">
        <f t="shared" ref="S2:S33" si="3">P2/10</f>
        <v>0.24</v>
      </c>
      <c r="T2" s="5">
        <f t="shared" ref="T2:T33" si="4">Q2/100</f>
        <v>0.15</v>
      </c>
      <c r="U2" s="5">
        <f t="shared" ref="U2:U33" si="5">R2/1000</f>
        <v>0.1</v>
      </c>
    </row>
    <row r="3" spans="1:21">
      <c r="A3" t="s">
        <v>590</v>
      </c>
      <c r="B3" t="s">
        <v>542</v>
      </c>
      <c r="C3" t="s">
        <v>591</v>
      </c>
      <c r="D3" t="s">
        <v>592</v>
      </c>
      <c r="E3">
        <v>1</v>
      </c>
      <c r="F3" t="s">
        <v>587</v>
      </c>
      <c r="G3" t="s">
        <v>593</v>
      </c>
      <c r="I3" t="s">
        <v>594</v>
      </c>
      <c r="J3" s="5">
        <v>2.8</v>
      </c>
      <c r="K3" s="5">
        <v>2.2000000000000002</v>
      </c>
      <c r="L3" s="5">
        <v>1.7</v>
      </c>
      <c r="M3" s="5">
        <v>2.8</v>
      </c>
      <c r="N3" s="5">
        <v>2.2000000000000002</v>
      </c>
      <c r="O3" s="5">
        <v>1.7</v>
      </c>
      <c r="P3" s="5">
        <f t="shared" si="0"/>
        <v>28</v>
      </c>
      <c r="Q3" s="5">
        <f t="shared" si="1"/>
        <v>220.00000000000003</v>
      </c>
      <c r="R3" s="5">
        <f t="shared" si="2"/>
        <v>1700</v>
      </c>
      <c r="S3" s="5">
        <f t="shared" si="3"/>
        <v>2.8</v>
      </c>
      <c r="T3" s="5">
        <f t="shared" si="4"/>
        <v>2.2000000000000002</v>
      </c>
      <c r="U3" s="5">
        <f t="shared" si="5"/>
        <v>1.7</v>
      </c>
    </row>
    <row r="4" spans="1:21">
      <c r="A4" t="s">
        <v>595</v>
      </c>
      <c r="B4" t="s">
        <v>537</v>
      </c>
      <c r="C4" t="s">
        <v>596</v>
      </c>
      <c r="D4" t="s">
        <v>597</v>
      </c>
      <c r="E4">
        <v>2</v>
      </c>
      <c r="F4" t="s">
        <v>587</v>
      </c>
      <c r="G4" t="s">
        <v>593</v>
      </c>
      <c r="I4" t="s">
        <v>594</v>
      </c>
      <c r="J4" s="5">
        <v>1.7</v>
      </c>
      <c r="K4" s="5">
        <v>1.3</v>
      </c>
      <c r="L4" s="5">
        <v>1.05</v>
      </c>
      <c r="M4" s="5">
        <v>1.7</v>
      </c>
      <c r="N4" s="5">
        <v>1.3</v>
      </c>
      <c r="O4" s="5">
        <v>1.05</v>
      </c>
      <c r="P4" s="5">
        <f t="shared" si="0"/>
        <v>34</v>
      </c>
      <c r="Q4" s="5">
        <f t="shared" si="1"/>
        <v>260</v>
      </c>
      <c r="R4" s="5">
        <f t="shared" si="2"/>
        <v>2100</v>
      </c>
      <c r="S4" s="5">
        <f t="shared" si="3"/>
        <v>3.4</v>
      </c>
      <c r="T4" s="5">
        <f t="shared" si="4"/>
        <v>2.6</v>
      </c>
      <c r="U4" s="5">
        <f t="shared" si="5"/>
        <v>2.1</v>
      </c>
    </row>
    <row r="5" spans="1:21">
      <c r="A5" t="s">
        <v>598</v>
      </c>
      <c r="B5" t="s">
        <v>599</v>
      </c>
      <c r="C5" t="s">
        <v>600</v>
      </c>
      <c r="D5" t="s">
        <v>601</v>
      </c>
      <c r="E5">
        <v>6</v>
      </c>
      <c r="F5" t="s">
        <v>587</v>
      </c>
      <c r="G5" t="s">
        <v>588</v>
      </c>
      <c r="I5" t="s">
        <v>589</v>
      </c>
      <c r="J5" s="5">
        <v>7.4999999999999997E-2</v>
      </c>
      <c r="K5" s="5">
        <v>2.5000000000000001E-2</v>
      </c>
      <c r="L5" s="5">
        <v>8.9999999999999993E-3</v>
      </c>
      <c r="M5" s="5">
        <v>7.4999999999999997E-2</v>
      </c>
      <c r="N5" s="5">
        <v>2.5000000000000001E-2</v>
      </c>
      <c r="O5" s="5">
        <v>8.9999999999999993E-3</v>
      </c>
      <c r="P5" s="5">
        <f t="shared" si="0"/>
        <v>4.5</v>
      </c>
      <c r="Q5" s="5">
        <f t="shared" si="1"/>
        <v>15</v>
      </c>
      <c r="R5" s="5">
        <f t="shared" si="2"/>
        <v>53.999999999999993</v>
      </c>
      <c r="S5" s="5">
        <f t="shared" si="3"/>
        <v>0.45</v>
      </c>
      <c r="T5" s="5">
        <f t="shared" si="4"/>
        <v>0.15</v>
      </c>
      <c r="U5" s="5">
        <f t="shared" si="5"/>
        <v>5.3999999999999992E-2</v>
      </c>
    </row>
    <row r="6" spans="1:21">
      <c r="A6" t="s">
        <v>188</v>
      </c>
      <c r="B6" t="s">
        <v>602</v>
      </c>
      <c r="C6" t="s">
        <v>603</v>
      </c>
      <c r="D6" t="s">
        <v>604</v>
      </c>
      <c r="E6">
        <v>3</v>
      </c>
      <c r="F6" t="s">
        <v>587</v>
      </c>
      <c r="G6" t="s">
        <v>588</v>
      </c>
      <c r="I6" t="s">
        <v>589</v>
      </c>
      <c r="J6" s="5">
        <v>7.4999999999999997E-2</v>
      </c>
      <c r="K6" s="5">
        <v>2.5000000000000001E-2</v>
      </c>
      <c r="L6" s="5">
        <v>8.9999999999999993E-3</v>
      </c>
      <c r="M6" s="5">
        <v>7.4999999999999997E-2</v>
      </c>
      <c r="N6" s="5">
        <v>2.5000000000000001E-2</v>
      </c>
      <c r="O6" s="5">
        <v>8.9999999999999993E-3</v>
      </c>
      <c r="P6" s="5">
        <f t="shared" si="0"/>
        <v>2.25</v>
      </c>
      <c r="Q6" s="5">
        <f t="shared" si="1"/>
        <v>7.5</v>
      </c>
      <c r="R6" s="5">
        <f t="shared" si="2"/>
        <v>26.999999999999996</v>
      </c>
      <c r="S6" s="5">
        <f t="shared" si="3"/>
        <v>0.22500000000000001</v>
      </c>
      <c r="T6" s="5">
        <f t="shared" si="4"/>
        <v>7.4999999999999997E-2</v>
      </c>
      <c r="U6" s="5">
        <f t="shared" si="5"/>
        <v>2.6999999999999996E-2</v>
      </c>
    </row>
    <row r="7" spans="1:21">
      <c r="A7" t="s">
        <v>90</v>
      </c>
      <c r="B7" t="s">
        <v>605</v>
      </c>
      <c r="C7" t="s">
        <v>606</v>
      </c>
      <c r="D7" t="s">
        <v>607</v>
      </c>
      <c r="E7">
        <v>3</v>
      </c>
      <c r="F7" t="s">
        <v>587</v>
      </c>
      <c r="G7" t="s">
        <v>588</v>
      </c>
      <c r="I7" t="s">
        <v>589</v>
      </c>
      <c r="J7" s="5">
        <v>7.4999999999999997E-2</v>
      </c>
      <c r="K7" s="5">
        <v>2.5000000000000001E-2</v>
      </c>
      <c r="L7" s="5">
        <v>8.9999999999999993E-3</v>
      </c>
      <c r="M7" s="5">
        <v>7.4999999999999997E-2</v>
      </c>
      <c r="N7" s="5">
        <v>2.5000000000000001E-2</v>
      </c>
      <c r="O7" s="5">
        <v>8.9999999999999993E-3</v>
      </c>
      <c r="P7" s="5">
        <f t="shared" si="0"/>
        <v>2.25</v>
      </c>
      <c r="Q7" s="5">
        <f t="shared" si="1"/>
        <v>7.5</v>
      </c>
      <c r="R7" s="5">
        <f t="shared" si="2"/>
        <v>26.999999999999996</v>
      </c>
      <c r="S7" s="5">
        <f t="shared" si="3"/>
        <v>0.22500000000000001</v>
      </c>
      <c r="T7" s="5">
        <f t="shared" si="4"/>
        <v>7.4999999999999997E-2</v>
      </c>
      <c r="U7" s="5">
        <f t="shared" si="5"/>
        <v>2.6999999999999996E-2</v>
      </c>
    </row>
    <row r="8" spans="1:21">
      <c r="A8" t="s">
        <v>608</v>
      </c>
      <c r="B8" t="s">
        <v>609</v>
      </c>
      <c r="C8" t="s">
        <v>610</v>
      </c>
      <c r="D8" t="s">
        <v>611</v>
      </c>
      <c r="E8">
        <v>2</v>
      </c>
      <c r="F8" t="s">
        <v>587</v>
      </c>
      <c r="G8" t="s">
        <v>588</v>
      </c>
      <c r="I8" t="s">
        <v>589</v>
      </c>
      <c r="J8" s="5">
        <v>7.4999999999999997E-2</v>
      </c>
      <c r="K8" s="5">
        <v>2.5000000000000001E-2</v>
      </c>
      <c r="L8" s="5">
        <v>8.9999999999999993E-3</v>
      </c>
      <c r="M8" s="5">
        <v>7.4999999999999997E-2</v>
      </c>
      <c r="N8" s="5">
        <v>2.5000000000000001E-2</v>
      </c>
      <c r="O8" s="5">
        <v>8.9999999999999993E-3</v>
      </c>
      <c r="P8" s="5">
        <f t="shared" si="0"/>
        <v>1.5</v>
      </c>
      <c r="Q8" s="5">
        <f t="shared" si="1"/>
        <v>5</v>
      </c>
      <c r="R8" s="5">
        <f t="shared" si="2"/>
        <v>18</v>
      </c>
      <c r="S8" s="5">
        <f t="shared" si="3"/>
        <v>0.15</v>
      </c>
      <c r="T8" s="5">
        <f t="shared" si="4"/>
        <v>0.05</v>
      </c>
      <c r="U8" s="5">
        <f t="shared" si="5"/>
        <v>1.7999999999999999E-2</v>
      </c>
    </row>
    <row r="9" spans="1:21">
      <c r="A9" t="s">
        <v>142</v>
      </c>
      <c r="B9" t="s">
        <v>612</v>
      </c>
      <c r="C9" t="s">
        <v>613</v>
      </c>
      <c r="D9" t="s">
        <v>614</v>
      </c>
      <c r="E9">
        <v>2</v>
      </c>
      <c r="F9" t="s">
        <v>587</v>
      </c>
      <c r="G9" t="s">
        <v>588</v>
      </c>
      <c r="I9" t="s">
        <v>589</v>
      </c>
      <c r="J9" s="5">
        <v>7.4999999999999997E-2</v>
      </c>
      <c r="K9" s="5">
        <v>2.5000000000000001E-2</v>
      </c>
      <c r="L9" s="5">
        <v>8.9999999999999993E-3</v>
      </c>
      <c r="M9" s="5">
        <v>7.4999999999999997E-2</v>
      </c>
      <c r="N9" s="5">
        <v>2.5000000000000001E-2</v>
      </c>
      <c r="O9" s="5">
        <v>8.9999999999999993E-3</v>
      </c>
      <c r="P9" s="5">
        <f t="shared" si="0"/>
        <v>1.5</v>
      </c>
      <c r="Q9" s="5">
        <f t="shared" si="1"/>
        <v>5</v>
      </c>
      <c r="R9" s="5">
        <f t="shared" si="2"/>
        <v>18</v>
      </c>
      <c r="S9" s="5">
        <f t="shared" si="3"/>
        <v>0.15</v>
      </c>
      <c r="T9" s="5">
        <f t="shared" si="4"/>
        <v>0.05</v>
      </c>
      <c r="U9" s="5">
        <f t="shared" si="5"/>
        <v>1.7999999999999999E-2</v>
      </c>
    </row>
    <row r="10" spans="1:21">
      <c r="A10" t="s">
        <v>615</v>
      </c>
      <c r="B10" t="s">
        <v>616</v>
      </c>
      <c r="C10" t="s">
        <v>617</v>
      </c>
      <c r="D10" t="s">
        <v>618</v>
      </c>
      <c r="E10">
        <v>2</v>
      </c>
      <c r="F10" t="s">
        <v>587</v>
      </c>
      <c r="G10" t="s">
        <v>588</v>
      </c>
      <c r="I10" t="s">
        <v>589</v>
      </c>
      <c r="J10" s="5">
        <v>7.4999999999999997E-2</v>
      </c>
      <c r="K10" s="5">
        <v>2.5000000000000001E-2</v>
      </c>
      <c r="L10" s="5">
        <v>8.9999999999999993E-3</v>
      </c>
      <c r="M10" s="5">
        <v>7.4999999999999997E-2</v>
      </c>
      <c r="N10" s="5">
        <v>2.5000000000000001E-2</v>
      </c>
      <c r="O10" s="5">
        <v>8.9999999999999993E-3</v>
      </c>
      <c r="P10" s="5">
        <f t="shared" si="0"/>
        <v>1.5</v>
      </c>
      <c r="Q10" s="5">
        <f t="shared" si="1"/>
        <v>5</v>
      </c>
      <c r="R10" s="5">
        <f t="shared" si="2"/>
        <v>18</v>
      </c>
      <c r="S10" s="5">
        <f t="shared" si="3"/>
        <v>0.15</v>
      </c>
      <c r="T10" s="5">
        <f t="shared" si="4"/>
        <v>0.05</v>
      </c>
      <c r="U10" s="5">
        <f t="shared" si="5"/>
        <v>1.7999999999999999E-2</v>
      </c>
    </row>
    <row r="11" spans="1:21">
      <c r="A11" t="s">
        <v>223</v>
      </c>
      <c r="B11" t="s">
        <v>619</v>
      </c>
      <c r="C11" t="s">
        <v>620</v>
      </c>
      <c r="D11" t="s">
        <v>621</v>
      </c>
      <c r="E11">
        <v>3</v>
      </c>
      <c r="F11" t="s">
        <v>587</v>
      </c>
      <c r="G11" t="s">
        <v>588</v>
      </c>
      <c r="I11" t="s">
        <v>589</v>
      </c>
      <c r="J11" s="5">
        <v>7.4999999999999997E-2</v>
      </c>
      <c r="K11" s="5">
        <v>2.5000000000000001E-2</v>
      </c>
      <c r="L11" s="5">
        <v>8.9999999999999993E-3</v>
      </c>
      <c r="M11" s="5">
        <v>7.4999999999999997E-2</v>
      </c>
      <c r="N11" s="5">
        <v>2.5000000000000001E-2</v>
      </c>
      <c r="O11" s="5">
        <v>8.9999999999999993E-3</v>
      </c>
      <c r="P11" s="5">
        <f t="shared" si="0"/>
        <v>2.25</v>
      </c>
      <c r="Q11" s="5">
        <f t="shared" si="1"/>
        <v>7.5</v>
      </c>
      <c r="R11" s="5">
        <f t="shared" si="2"/>
        <v>26.999999999999996</v>
      </c>
      <c r="S11" s="5">
        <f t="shared" si="3"/>
        <v>0.22500000000000001</v>
      </c>
      <c r="T11" s="5">
        <f t="shared" si="4"/>
        <v>7.4999999999999997E-2</v>
      </c>
      <c r="U11" s="5">
        <f t="shared" si="5"/>
        <v>2.6999999999999996E-2</v>
      </c>
    </row>
    <row r="12" spans="1:21">
      <c r="A12" t="s">
        <v>622</v>
      </c>
      <c r="B12" t="s">
        <v>623</v>
      </c>
      <c r="C12" t="s">
        <v>624</v>
      </c>
      <c r="D12" t="s">
        <v>625</v>
      </c>
      <c r="E12">
        <v>20</v>
      </c>
      <c r="F12" t="s">
        <v>587</v>
      </c>
      <c r="G12" t="s">
        <v>588</v>
      </c>
      <c r="I12" t="s">
        <v>589</v>
      </c>
      <c r="J12" s="5">
        <v>7.4999999999999997E-2</v>
      </c>
      <c r="K12" s="5">
        <v>2.5000000000000001E-2</v>
      </c>
      <c r="L12" s="5">
        <v>8.9999999999999993E-3</v>
      </c>
      <c r="M12" s="5">
        <v>2.5000000000000001E-2</v>
      </c>
      <c r="N12" s="5">
        <v>8.9999999999999993E-3</v>
      </c>
      <c r="O12" s="5">
        <v>8.9999999999999993E-3</v>
      </c>
      <c r="P12" s="5">
        <f t="shared" si="0"/>
        <v>5</v>
      </c>
      <c r="Q12" s="5">
        <f t="shared" si="1"/>
        <v>18</v>
      </c>
      <c r="R12" s="5">
        <f t="shared" si="2"/>
        <v>180</v>
      </c>
      <c r="S12" s="5">
        <f t="shared" si="3"/>
        <v>0.5</v>
      </c>
      <c r="T12" s="5">
        <f t="shared" si="4"/>
        <v>0.18</v>
      </c>
      <c r="U12" s="5">
        <f t="shared" si="5"/>
        <v>0.18</v>
      </c>
    </row>
    <row r="13" spans="1:21">
      <c r="A13" t="s">
        <v>626</v>
      </c>
      <c r="B13" t="s">
        <v>627</v>
      </c>
      <c r="C13" t="s">
        <v>628</v>
      </c>
      <c r="D13" t="s">
        <v>629</v>
      </c>
      <c r="E13">
        <v>2</v>
      </c>
      <c r="F13" t="s">
        <v>587</v>
      </c>
      <c r="G13" t="s">
        <v>588</v>
      </c>
      <c r="I13" t="s">
        <v>589</v>
      </c>
      <c r="J13" s="5">
        <v>7.4999999999999997E-2</v>
      </c>
      <c r="K13" s="5">
        <v>2.5000000000000001E-2</v>
      </c>
      <c r="L13" s="5">
        <v>8.9999999999999993E-3</v>
      </c>
      <c r="M13" s="5">
        <v>7.4999999999999997E-2</v>
      </c>
      <c r="N13" s="5">
        <v>2.5000000000000001E-2</v>
      </c>
      <c r="O13" s="5">
        <v>8.9999999999999993E-3</v>
      </c>
      <c r="P13" s="5">
        <f t="shared" si="0"/>
        <v>1.5</v>
      </c>
      <c r="Q13" s="5">
        <f t="shared" si="1"/>
        <v>5</v>
      </c>
      <c r="R13" s="5">
        <f t="shared" si="2"/>
        <v>18</v>
      </c>
      <c r="S13" s="5">
        <f t="shared" si="3"/>
        <v>0.15</v>
      </c>
      <c r="T13" s="5">
        <f t="shared" si="4"/>
        <v>0.05</v>
      </c>
      <c r="U13" s="5">
        <f t="shared" si="5"/>
        <v>1.7999999999999999E-2</v>
      </c>
    </row>
    <row r="14" spans="1:21">
      <c r="A14" t="s">
        <v>630</v>
      </c>
      <c r="B14" t="s">
        <v>612</v>
      </c>
      <c r="C14" t="s">
        <v>613</v>
      </c>
      <c r="D14" t="s">
        <v>631</v>
      </c>
      <c r="E14">
        <v>1</v>
      </c>
      <c r="F14" t="s">
        <v>587</v>
      </c>
      <c r="G14" t="s">
        <v>588</v>
      </c>
      <c r="I14" t="s">
        <v>589</v>
      </c>
      <c r="J14" s="5">
        <v>7.4999999999999997E-2</v>
      </c>
      <c r="K14" s="5">
        <v>2.5000000000000001E-2</v>
      </c>
      <c r="L14" s="5">
        <v>8.9999999999999993E-3</v>
      </c>
      <c r="M14" s="5">
        <v>7.4999999999999997E-2</v>
      </c>
      <c r="N14" s="5">
        <v>2.5000000000000001E-2</v>
      </c>
      <c r="O14" s="5">
        <v>8.9999999999999993E-3</v>
      </c>
      <c r="P14" s="5">
        <f t="shared" si="0"/>
        <v>0.75</v>
      </c>
      <c r="Q14" s="5">
        <f t="shared" si="1"/>
        <v>2.5</v>
      </c>
      <c r="R14" s="5">
        <f t="shared" si="2"/>
        <v>9</v>
      </c>
      <c r="S14" s="5">
        <f t="shared" si="3"/>
        <v>7.4999999999999997E-2</v>
      </c>
      <c r="T14" s="5">
        <f t="shared" si="4"/>
        <v>2.5000000000000001E-2</v>
      </c>
      <c r="U14" s="5">
        <f t="shared" si="5"/>
        <v>8.9999999999999993E-3</v>
      </c>
    </row>
    <row r="15" spans="1:21">
      <c r="A15" t="s">
        <v>632</v>
      </c>
      <c r="B15" t="s">
        <v>619</v>
      </c>
      <c r="C15" t="s">
        <v>620</v>
      </c>
      <c r="D15" t="s">
        <v>633</v>
      </c>
      <c r="E15">
        <v>9</v>
      </c>
      <c r="F15" t="s">
        <v>587</v>
      </c>
      <c r="G15" t="s">
        <v>588</v>
      </c>
      <c r="I15" t="s">
        <v>589</v>
      </c>
      <c r="J15" s="5">
        <v>7.4999999999999997E-2</v>
      </c>
      <c r="K15" s="5">
        <v>2.5000000000000001E-2</v>
      </c>
      <c r="L15" s="5">
        <v>8.9999999999999993E-3</v>
      </c>
      <c r="M15" s="5">
        <v>7.4999999999999997E-2</v>
      </c>
      <c r="N15" s="5">
        <v>2.5000000000000001E-2</v>
      </c>
      <c r="O15" s="5">
        <v>8.9999999999999993E-3</v>
      </c>
      <c r="P15" s="5">
        <f t="shared" si="0"/>
        <v>6.75</v>
      </c>
      <c r="Q15" s="5">
        <f t="shared" si="1"/>
        <v>22.5</v>
      </c>
      <c r="R15" s="5">
        <f t="shared" si="2"/>
        <v>81</v>
      </c>
      <c r="S15" s="5">
        <f t="shared" si="3"/>
        <v>0.67500000000000004</v>
      </c>
      <c r="T15" s="5">
        <f t="shared" si="4"/>
        <v>0.22500000000000001</v>
      </c>
      <c r="U15" s="5">
        <f t="shared" si="5"/>
        <v>8.1000000000000003E-2</v>
      </c>
    </row>
    <row r="16" spans="1:21">
      <c r="A16" t="s">
        <v>634</v>
      </c>
      <c r="B16" t="s">
        <v>635</v>
      </c>
      <c r="C16" t="s">
        <v>636</v>
      </c>
      <c r="D16" t="s">
        <v>637</v>
      </c>
      <c r="E16">
        <v>2</v>
      </c>
      <c r="F16" t="s">
        <v>587</v>
      </c>
      <c r="G16" t="s">
        <v>588</v>
      </c>
      <c r="I16" t="s">
        <v>589</v>
      </c>
      <c r="J16" s="5">
        <v>7.4999999999999997E-2</v>
      </c>
      <c r="K16" s="5">
        <v>2.5000000000000001E-2</v>
      </c>
      <c r="L16" s="5">
        <v>8.9999999999999993E-3</v>
      </c>
      <c r="M16" s="5">
        <v>7.4999999999999997E-2</v>
      </c>
      <c r="N16" s="5">
        <v>2.5000000000000001E-2</v>
      </c>
      <c r="O16" s="5">
        <v>8.9999999999999993E-3</v>
      </c>
      <c r="P16" s="5">
        <f t="shared" si="0"/>
        <v>1.5</v>
      </c>
      <c r="Q16" s="5">
        <f t="shared" si="1"/>
        <v>5</v>
      </c>
      <c r="R16" s="5">
        <f t="shared" si="2"/>
        <v>18</v>
      </c>
      <c r="S16" s="5">
        <f t="shared" si="3"/>
        <v>0.15</v>
      </c>
      <c r="T16" s="5">
        <f t="shared" si="4"/>
        <v>0.05</v>
      </c>
      <c r="U16" s="5">
        <f t="shared" si="5"/>
        <v>1.7999999999999999E-2</v>
      </c>
    </row>
    <row r="17" spans="1:21">
      <c r="A17" t="s">
        <v>638</v>
      </c>
      <c r="B17" t="s">
        <v>619</v>
      </c>
      <c r="C17" t="s">
        <v>620</v>
      </c>
      <c r="D17" t="s">
        <v>639</v>
      </c>
      <c r="E17">
        <v>4</v>
      </c>
      <c r="F17" t="s">
        <v>587</v>
      </c>
      <c r="G17" t="s">
        <v>588</v>
      </c>
      <c r="I17" t="s">
        <v>589</v>
      </c>
      <c r="J17" s="5">
        <v>7.4999999999999997E-2</v>
      </c>
      <c r="K17" s="5">
        <v>2.5000000000000001E-2</v>
      </c>
      <c r="L17" s="5">
        <v>8.9999999999999993E-3</v>
      </c>
      <c r="M17" s="5">
        <v>7.4999999999999997E-2</v>
      </c>
      <c r="N17" s="5">
        <v>2.5000000000000001E-2</v>
      </c>
      <c r="O17" s="5">
        <v>8.9999999999999993E-3</v>
      </c>
      <c r="P17" s="5">
        <f t="shared" si="0"/>
        <v>3</v>
      </c>
      <c r="Q17" s="5">
        <f t="shared" si="1"/>
        <v>10</v>
      </c>
      <c r="R17" s="5">
        <f t="shared" si="2"/>
        <v>36</v>
      </c>
      <c r="S17" s="5">
        <f t="shared" si="3"/>
        <v>0.3</v>
      </c>
      <c r="T17" s="5">
        <f t="shared" si="4"/>
        <v>0.1</v>
      </c>
      <c r="U17" s="5">
        <f t="shared" si="5"/>
        <v>3.5999999999999997E-2</v>
      </c>
    </row>
    <row r="18" spans="1:21">
      <c r="A18" t="s">
        <v>640</v>
      </c>
      <c r="B18" t="s">
        <v>641</v>
      </c>
      <c r="C18" t="s">
        <v>642</v>
      </c>
      <c r="D18" t="s">
        <v>643</v>
      </c>
      <c r="E18">
        <v>8</v>
      </c>
      <c r="F18" t="s">
        <v>587</v>
      </c>
      <c r="G18" t="s">
        <v>588</v>
      </c>
      <c r="I18" t="s">
        <v>589</v>
      </c>
      <c r="J18" s="5">
        <v>7.4999999999999997E-2</v>
      </c>
      <c r="K18" s="5">
        <v>2.5000000000000001E-2</v>
      </c>
      <c r="L18" s="5">
        <v>8.9999999999999993E-3</v>
      </c>
      <c r="M18" s="5">
        <v>7.4999999999999997E-2</v>
      </c>
      <c r="N18" s="5">
        <v>2.5000000000000001E-2</v>
      </c>
      <c r="O18" s="5">
        <v>8.9999999999999993E-3</v>
      </c>
      <c r="P18" s="5">
        <f t="shared" si="0"/>
        <v>6</v>
      </c>
      <c r="Q18" s="5">
        <f t="shared" si="1"/>
        <v>20</v>
      </c>
      <c r="R18" s="5">
        <f t="shared" si="2"/>
        <v>72</v>
      </c>
      <c r="S18" s="5">
        <f t="shared" si="3"/>
        <v>0.6</v>
      </c>
      <c r="T18" s="5">
        <f t="shared" si="4"/>
        <v>0.2</v>
      </c>
      <c r="U18" s="5">
        <f t="shared" si="5"/>
        <v>7.1999999999999995E-2</v>
      </c>
    </row>
    <row r="19" spans="1:21">
      <c r="A19" t="s">
        <v>644</v>
      </c>
      <c r="B19" t="s">
        <v>645</v>
      </c>
      <c r="C19" t="s">
        <v>646</v>
      </c>
      <c r="D19" t="s">
        <v>647</v>
      </c>
      <c r="E19">
        <v>4</v>
      </c>
      <c r="F19" t="s">
        <v>587</v>
      </c>
      <c r="G19" t="s">
        <v>588</v>
      </c>
      <c r="I19" t="s">
        <v>589</v>
      </c>
      <c r="J19" s="5">
        <v>0.16</v>
      </c>
      <c r="K19" s="5">
        <v>0.1</v>
      </c>
      <c r="L19" s="5">
        <v>7.0000000000000007E-2</v>
      </c>
      <c r="M19" s="5">
        <v>0.16</v>
      </c>
      <c r="N19" s="5">
        <v>0.1</v>
      </c>
      <c r="O19" s="5">
        <v>7.0000000000000007E-2</v>
      </c>
      <c r="P19" s="5">
        <f t="shared" si="0"/>
        <v>6.4</v>
      </c>
      <c r="Q19" s="5">
        <f t="shared" si="1"/>
        <v>40</v>
      </c>
      <c r="R19" s="5">
        <f t="shared" si="2"/>
        <v>280</v>
      </c>
      <c r="S19" s="5">
        <f t="shared" si="3"/>
        <v>0.64</v>
      </c>
      <c r="T19" s="5">
        <f t="shared" si="4"/>
        <v>0.4</v>
      </c>
      <c r="U19" s="5">
        <f t="shared" si="5"/>
        <v>0.28000000000000003</v>
      </c>
    </row>
    <row r="20" spans="1:21">
      <c r="A20" t="s">
        <v>648</v>
      </c>
      <c r="B20" t="s">
        <v>623</v>
      </c>
      <c r="C20" t="s">
        <v>624</v>
      </c>
      <c r="D20" t="s">
        <v>649</v>
      </c>
      <c r="E20">
        <v>2</v>
      </c>
      <c r="F20" t="s">
        <v>587</v>
      </c>
      <c r="G20" t="s">
        <v>588</v>
      </c>
      <c r="I20" t="s">
        <v>589</v>
      </c>
      <c r="J20" s="5">
        <v>7.4999999999999997E-2</v>
      </c>
      <c r="K20" s="5">
        <v>2.5000000000000001E-2</v>
      </c>
      <c r="L20" s="5">
        <v>8.9999999999999993E-3</v>
      </c>
      <c r="M20" s="5">
        <v>7.4999999999999997E-2</v>
      </c>
      <c r="N20" s="5">
        <v>2.5000000000000001E-2</v>
      </c>
      <c r="O20" s="5">
        <v>8.9999999999999993E-3</v>
      </c>
      <c r="P20" s="5">
        <f t="shared" si="0"/>
        <v>1.5</v>
      </c>
      <c r="Q20" s="5">
        <f t="shared" si="1"/>
        <v>5</v>
      </c>
      <c r="R20" s="5">
        <f t="shared" si="2"/>
        <v>18</v>
      </c>
      <c r="S20" s="5">
        <f t="shared" si="3"/>
        <v>0.15</v>
      </c>
      <c r="T20" s="5">
        <f t="shared" si="4"/>
        <v>0.05</v>
      </c>
      <c r="U20" s="5">
        <f t="shared" si="5"/>
        <v>1.7999999999999999E-2</v>
      </c>
    </row>
    <row r="21" spans="1:21">
      <c r="A21" t="s">
        <v>650</v>
      </c>
      <c r="B21" t="s">
        <v>651</v>
      </c>
      <c r="C21" t="s">
        <v>652</v>
      </c>
      <c r="D21" t="s">
        <v>653</v>
      </c>
      <c r="E21">
        <v>3</v>
      </c>
      <c r="F21" t="s">
        <v>587</v>
      </c>
      <c r="G21" t="s">
        <v>588</v>
      </c>
      <c r="I21" t="s">
        <v>589</v>
      </c>
      <c r="J21" s="5">
        <v>7.4999999999999997E-2</v>
      </c>
      <c r="K21" s="5">
        <v>2.5000000000000001E-2</v>
      </c>
      <c r="L21" s="5">
        <v>8.9999999999999993E-3</v>
      </c>
      <c r="M21" s="5">
        <v>7.4999999999999997E-2</v>
      </c>
      <c r="N21" s="5">
        <v>2.5000000000000001E-2</v>
      </c>
      <c r="O21" s="5">
        <v>8.9999999999999993E-3</v>
      </c>
      <c r="P21" s="5">
        <f t="shared" si="0"/>
        <v>2.25</v>
      </c>
      <c r="Q21" s="5">
        <f t="shared" si="1"/>
        <v>7.5</v>
      </c>
      <c r="R21" s="5">
        <f t="shared" si="2"/>
        <v>26.999999999999996</v>
      </c>
      <c r="S21" s="5">
        <f t="shared" si="3"/>
        <v>0.22500000000000001</v>
      </c>
      <c r="T21" s="5">
        <f t="shared" si="4"/>
        <v>7.4999999999999997E-2</v>
      </c>
      <c r="U21" s="5">
        <f t="shared" si="5"/>
        <v>2.6999999999999996E-2</v>
      </c>
    </row>
    <row r="22" spans="1:21">
      <c r="A22" t="s">
        <v>138</v>
      </c>
      <c r="B22" t="s">
        <v>654</v>
      </c>
      <c r="C22" t="s">
        <v>655</v>
      </c>
      <c r="D22" t="s">
        <v>656</v>
      </c>
      <c r="E22">
        <v>2</v>
      </c>
      <c r="F22" t="s">
        <v>587</v>
      </c>
      <c r="G22" t="s">
        <v>588</v>
      </c>
      <c r="I22" t="s">
        <v>589</v>
      </c>
      <c r="J22" s="5">
        <v>7.4999999999999997E-2</v>
      </c>
      <c r="K22" s="5">
        <v>2.5000000000000001E-2</v>
      </c>
      <c r="L22" s="5">
        <v>8.9999999999999993E-3</v>
      </c>
      <c r="M22" s="5">
        <v>7.4999999999999997E-2</v>
      </c>
      <c r="N22" s="5">
        <v>2.5000000000000001E-2</v>
      </c>
      <c r="O22" s="5">
        <v>8.9999999999999993E-3</v>
      </c>
      <c r="P22" s="5">
        <f t="shared" si="0"/>
        <v>1.5</v>
      </c>
      <c r="Q22" s="5">
        <f t="shared" si="1"/>
        <v>5</v>
      </c>
      <c r="R22" s="5">
        <f t="shared" si="2"/>
        <v>18</v>
      </c>
      <c r="S22" s="5">
        <f t="shared" si="3"/>
        <v>0.15</v>
      </c>
      <c r="T22" s="5">
        <f t="shared" si="4"/>
        <v>0.05</v>
      </c>
      <c r="U22" s="5">
        <f t="shared" si="5"/>
        <v>1.7999999999999999E-2</v>
      </c>
    </row>
    <row r="23" spans="1:21">
      <c r="A23" t="s">
        <v>657</v>
      </c>
      <c r="B23" t="s">
        <v>658</v>
      </c>
      <c r="C23" t="s">
        <v>659</v>
      </c>
      <c r="D23" t="s">
        <v>660</v>
      </c>
      <c r="E23">
        <v>4</v>
      </c>
      <c r="F23" t="s">
        <v>587</v>
      </c>
      <c r="G23" t="s">
        <v>588</v>
      </c>
      <c r="I23" t="s">
        <v>589</v>
      </c>
      <c r="J23" s="5">
        <v>7.4999999999999997E-2</v>
      </c>
      <c r="K23" s="5">
        <v>2.5000000000000001E-2</v>
      </c>
      <c r="L23" s="5">
        <v>8.9999999999999993E-3</v>
      </c>
      <c r="M23" s="5">
        <v>7.4999999999999997E-2</v>
      </c>
      <c r="N23" s="5">
        <v>2.5000000000000001E-2</v>
      </c>
      <c r="O23" s="5">
        <v>8.9999999999999993E-3</v>
      </c>
      <c r="P23" s="5">
        <f t="shared" si="0"/>
        <v>3</v>
      </c>
      <c r="Q23" s="5">
        <f t="shared" si="1"/>
        <v>10</v>
      </c>
      <c r="R23" s="5">
        <f t="shared" si="2"/>
        <v>36</v>
      </c>
      <c r="S23" s="5">
        <f t="shared" si="3"/>
        <v>0.3</v>
      </c>
      <c r="T23" s="5">
        <f t="shared" si="4"/>
        <v>0.1</v>
      </c>
      <c r="U23" s="5">
        <f t="shared" si="5"/>
        <v>3.5999999999999997E-2</v>
      </c>
    </row>
    <row r="24" spans="1:21">
      <c r="A24" t="s">
        <v>661</v>
      </c>
      <c r="B24" t="s">
        <v>662</v>
      </c>
      <c r="C24" t="s">
        <v>663</v>
      </c>
      <c r="D24" t="s">
        <v>664</v>
      </c>
      <c r="E24">
        <v>3</v>
      </c>
      <c r="F24" t="s">
        <v>587</v>
      </c>
      <c r="G24" t="s">
        <v>588</v>
      </c>
      <c r="I24" t="s">
        <v>589</v>
      </c>
      <c r="J24" s="5">
        <v>7.4999999999999997E-2</v>
      </c>
      <c r="K24" s="5">
        <v>2.5000000000000001E-2</v>
      </c>
      <c r="L24" s="5">
        <v>8.9999999999999993E-3</v>
      </c>
      <c r="M24" s="5">
        <v>7.4999999999999997E-2</v>
      </c>
      <c r="N24" s="5">
        <v>2.5000000000000001E-2</v>
      </c>
      <c r="O24" s="5">
        <v>8.9999999999999993E-3</v>
      </c>
      <c r="P24" s="5">
        <f t="shared" si="0"/>
        <v>2.25</v>
      </c>
      <c r="Q24" s="5">
        <f t="shared" si="1"/>
        <v>7.5</v>
      </c>
      <c r="R24" s="5">
        <f t="shared" si="2"/>
        <v>26.999999999999996</v>
      </c>
      <c r="S24" s="5">
        <f t="shared" si="3"/>
        <v>0.22500000000000001</v>
      </c>
      <c r="T24" s="5">
        <f t="shared" si="4"/>
        <v>7.4999999999999997E-2</v>
      </c>
      <c r="U24" s="5">
        <f t="shared" si="5"/>
        <v>2.6999999999999996E-2</v>
      </c>
    </row>
    <row r="25" spans="1:21">
      <c r="A25" t="s">
        <v>665</v>
      </c>
      <c r="B25" t="s">
        <v>666</v>
      </c>
      <c r="C25" t="s">
        <v>667</v>
      </c>
      <c r="D25" t="s">
        <v>668</v>
      </c>
      <c r="E25">
        <v>2</v>
      </c>
      <c r="F25" t="s">
        <v>587</v>
      </c>
      <c r="G25" t="s">
        <v>588</v>
      </c>
      <c r="I25" t="s">
        <v>589</v>
      </c>
      <c r="J25" s="5">
        <v>7.4999999999999997E-2</v>
      </c>
      <c r="K25" s="5">
        <v>2.5000000000000001E-2</v>
      </c>
      <c r="L25" s="5">
        <v>8.9999999999999993E-3</v>
      </c>
      <c r="M25" s="5">
        <v>7.4999999999999997E-2</v>
      </c>
      <c r="N25" s="5">
        <v>2.5000000000000001E-2</v>
      </c>
      <c r="O25" s="5">
        <v>8.9999999999999993E-3</v>
      </c>
      <c r="P25" s="5">
        <f t="shared" si="0"/>
        <v>1.5</v>
      </c>
      <c r="Q25" s="5">
        <f t="shared" si="1"/>
        <v>5</v>
      </c>
      <c r="R25" s="5">
        <f t="shared" si="2"/>
        <v>18</v>
      </c>
      <c r="S25" s="5">
        <f t="shared" si="3"/>
        <v>0.15</v>
      </c>
      <c r="T25" s="5">
        <f t="shared" si="4"/>
        <v>0.05</v>
      </c>
      <c r="U25" s="5">
        <f t="shared" si="5"/>
        <v>1.7999999999999999E-2</v>
      </c>
    </row>
    <row r="26" spans="1:21">
      <c r="A26" t="s">
        <v>669</v>
      </c>
      <c r="B26" t="s">
        <v>670</v>
      </c>
      <c r="C26" t="s">
        <v>671</v>
      </c>
      <c r="D26" t="s">
        <v>672</v>
      </c>
      <c r="E26">
        <v>1</v>
      </c>
      <c r="F26" t="s">
        <v>587</v>
      </c>
      <c r="G26" t="s">
        <v>588</v>
      </c>
      <c r="I26" t="s">
        <v>589</v>
      </c>
      <c r="J26" s="5">
        <v>7.4999999999999997E-2</v>
      </c>
      <c r="K26" s="5">
        <v>2.5000000000000001E-2</v>
      </c>
      <c r="L26" s="5">
        <v>8.9999999999999993E-3</v>
      </c>
      <c r="M26" s="5">
        <v>7.4999999999999997E-2</v>
      </c>
      <c r="N26" s="5">
        <v>2.5000000000000001E-2</v>
      </c>
      <c r="O26" s="5">
        <v>8.9999999999999993E-3</v>
      </c>
      <c r="P26" s="5">
        <f t="shared" si="0"/>
        <v>0.75</v>
      </c>
      <c r="Q26" s="5">
        <f t="shared" si="1"/>
        <v>2.5</v>
      </c>
      <c r="R26" s="5">
        <f t="shared" si="2"/>
        <v>9</v>
      </c>
      <c r="S26" s="5">
        <f t="shared" si="3"/>
        <v>7.4999999999999997E-2</v>
      </c>
      <c r="T26" s="5">
        <f t="shared" si="4"/>
        <v>2.5000000000000001E-2</v>
      </c>
      <c r="U26" s="5">
        <f t="shared" si="5"/>
        <v>8.9999999999999993E-3</v>
      </c>
    </row>
    <row r="27" spans="1:21">
      <c r="A27" t="s">
        <v>673</v>
      </c>
      <c r="B27" t="s">
        <v>674</v>
      </c>
      <c r="C27" t="s">
        <v>675</v>
      </c>
      <c r="D27" t="s">
        <v>676</v>
      </c>
      <c r="E27">
        <v>2</v>
      </c>
      <c r="F27" t="s">
        <v>587</v>
      </c>
      <c r="G27" t="s">
        <v>588</v>
      </c>
      <c r="I27" t="s">
        <v>589</v>
      </c>
      <c r="J27" s="5">
        <v>0.16</v>
      </c>
      <c r="K27" s="5">
        <v>0.1</v>
      </c>
      <c r="L27" s="5">
        <v>7.0000000000000007E-2</v>
      </c>
      <c r="M27" s="5">
        <v>0.16</v>
      </c>
      <c r="N27" s="5">
        <v>0.1</v>
      </c>
      <c r="O27" s="5">
        <v>7.0000000000000007E-2</v>
      </c>
      <c r="P27" s="5">
        <f t="shared" si="0"/>
        <v>3.2</v>
      </c>
      <c r="Q27" s="5">
        <f t="shared" si="1"/>
        <v>20</v>
      </c>
      <c r="R27" s="5">
        <f t="shared" si="2"/>
        <v>140</v>
      </c>
      <c r="S27" s="5">
        <f t="shared" si="3"/>
        <v>0.32</v>
      </c>
      <c r="T27" s="5">
        <f t="shared" si="4"/>
        <v>0.2</v>
      </c>
      <c r="U27" s="5">
        <f t="shared" si="5"/>
        <v>0.14000000000000001</v>
      </c>
    </row>
    <row r="28" spans="1:21">
      <c r="A28" t="s">
        <v>677</v>
      </c>
      <c r="B28" t="s">
        <v>635</v>
      </c>
      <c r="C28" t="s">
        <v>636</v>
      </c>
      <c r="D28" t="s">
        <v>678</v>
      </c>
      <c r="E28">
        <v>1</v>
      </c>
      <c r="F28" t="s">
        <v>587</v>
      </c>
      <c r="G28" t="s">
        <v>588</v>
      </c>
      <c r="I28" t="s">
        <v>589</v>
      </c>
      <c r="J28" s="5">
        <v>7.4999999999999997E-2</v>
      </c>
      <c r="K28" s="5">
        <v>2.5000000000000001E-2</v>
      </c>
      <c r="L28" s="5">
        <v>8.9999999999999993E-3</v>
      </c>
      <c r="M28" s="5">
        <v>7.4999999999999997E-2</v>
      </c>
      <c r="N28" s="5">
        <v>2.5000000000000001E-2</v>
      </c>
      <c r="O28" s="5">
        <v>8.9999999999999993E-3</v>
      </c>
      <c r="P28" s="5">
        <f t="shared" si="0"/>
        <v>0.75</v>
      </c>
      <c r="Q28" s="5">
        <f t="shared" si="1"/>
        <v>2.5</v>
      </c>
      <c r="R28" s="5">
        <f t="shared" si="2"/>
        <v>9</v>
      </c>
      <c r="S28" s="5">
        <f t="shared" si="3"/>
        <v>7.4999999999999997E-2</v>
      </c>
      <c r="T28" s="5">
        <f t="shared" si="4"/>
        <v>2.5000000000000001E-2</v>
      </c>
      <c r="U28" s="5">
        <f t="shared" si="5"/>
        <v>8.9999999999999993E-3</v>
      </c>
    </row>
    <row r="29" spans="1:21">
      <c r="A29" t="s">
        <v>679</v>
      </c>
      <c r="B29" t="s">
        <v>680</v>
      </c>
      <c r="C29" t="s">
        <v>681</v>
      </c>
      <c r="D29" t="s">
        <v>682</v>
      </c>
      <c r="E29">
        <v>19</v>
      </c>
      <c r="F29" t="s">
        <v>587</v>
      </c>
      <c r="G29" t="s">
        <v>588</v>
      </c>
      <c r="I29" t="s">
        <v>589</v>
      </c>
      <c r="J29" s="5">
        <v>7.4999999999999997E-2</v>
      </c>
      <c r="K29" s="5">
        <v>2.5000000000000001E-2</v>
      </c>
      <c r="L29" s="5">
        <v>8.9999999999999993E-3</v>
      </c>
      <c r="M29" s="5">
        <v>2.5000000000000001E-2</v>
      </c>
      <c r="N29" s="5">
        <v>8.9999999999999993E-3</v>
      </c>
      <c r="O29" s="5">
        <v>8.9999999999999993E-3</v>
      </c>
      <c r="P29" s="5">
        <f t="shared" si="0"/>
        <v>4.75</v>
      </c>
      <c r="Q29" s="5">
        <f t="shared" si="1"/>
        <v>17.099999999999998</v>
      </c>
      <c r="R29" s="5">
        <f t="shared" si="2"/>
        <v>171</v>
      </c>
      <c r="S29" s="5">
        <f t="shared" si="3"/>
        <v>0.47499999999999998</v>
      </c>
      <c r="T29" s="5">
        <f t="shared" si="4"/>
        <v>0.17099999999999999</v>
      </c>
      <c r="U29" s="5">
        <f t="shared" si="5"/>
        <v>0.17100000000000001</v>
      </c>
    </row>
    <row r="30" spans="1:21">
      <c r="A30" t="s">
        <v>683</v>
      </c>
      <c r="B30" t="s">
        <v>684</v>
      </c>
      <c r="C30" t="s">
        <v>685</v>
      </c>
      <c r="D30" t="s">
        <v>686</v>
      </c>
      <c r="E30">
        <v>3</v>
      </c>
      <c r="F30" t="s">
        <v>587</v>
      </c>
      <c r="G30" t="s">
        <v>588</v>
      </c>
      <c r="I30" t="s">
        <v>589</v>
      </c>
      <c r="J30" s="5">
        <v>7.4999999999999997E-2</v>
      </c>
      <c r="K30" s="5">
        <v>2.5000000000000001E-2</v>
      </c>
      <c r="L30" s="5">
        <v>8.9999999999999993E-3</v>
      </c>
      <c r="M30" s="5">
        <v>7.4999999999999997E-2</v>
      </c>
      <c r="N30" s="5">
        <v>2.5000000000000001E-2</v>
      </c>
      <c r="O30" s="5">
        <v>8.9999999999999993E-3</v>
      </c>
      <c r="P30" s="5">
        <f t="shared" si="0"/>
        <v>2.25</v>
      </c>
      <c r="Q30" s="5">
        <f t="shared" si="1"/>
        <v>7.5</v>
      </c>
      <c r="R30" s="5">
        <f t="shared" si="2"/>
        <v>26.999999999999996</v>
      </c>
      <c r="S30" s="5">
        <f t="shared" si="3"/>
        <v>0.22500000000000001</v>
      </c>
      <c r="T30" s="5">
        <f t="shared" si="4"/>
        <v>7.4999999999999997E-2</v>
      </c>
      <c r="U30" s="5">
        <f t="shared" si="5"/>
        <v>2.6999999999999996E-2</v>
      </c>
    </row>
    <row r="31" spans="1:21">
      <c r="A31" t="s">
        <v>687</v>
      </c>
      <c r="B31" t="s">
        <v>688</v>
      </c>
      <c r="C31" t="s">
        <v>689</v>
      </c>
      <c r="D31" t="s">
        <v>690</v>
      </c>
      <c r="E31">
        <v>2</v>
      </c>
      <c r="F31" t="s">
        <v>587</v>
      </c>
      <c r="G31" t="s">
        <v>588</v>
      </c>
      <c r="I31" t="s">
        <v>589</v>
      </c>
      <c r="J31" s="5">
        <v>7.4999999999999997E-2</v>
      </c>
      <c r="K31" s="5">
        <v>2.5000000000000001E-2</v>
      </c>
      <c r="L31" s="5">
        <v>8.9999999999999993E-3</v>
      </c>
      <c r="M31" s="5">
        <v>7.4999999999999997E-2</v>
      </c>
      <c r="N31" s="5">
        <v>2.5000000000000001E-2</v>
      </c>
      <c r="O31" s="5">
        <v>8.9999999999999993E-3</v>
      </c>
      <c r="P31" s="5">
        <f t="shared" si="0"/>
        <v>1.5</v>
      </c>
      <c r="Q31" s="5">
        <f t="shared" si="1"/>
        <v>5</v>
      </c>
      <c r="R31" s="5">
        <f t="shared" si="2"/>
        <v>18</v>
      </c>
      <c r="S31" s="5">
        <f t="shared" si="3"/>
        <v>0.15</v>
      </c>
      <c r="T31" s="5">
        <f t="shared" si="4"/>
        <v>0.05</v>
      </c>
      <c r="U31" s="5">
        <f t="shared" si="5"/>
        <v>1.7999999999999999E-2</v>
      </c>
    </row>
    <row r="32" spans="1:21">
      <c r="A32" t="s">
        <v>691</v>
      </c>
      <c r="B32" t="s">
        <v>692</v>
      </c>
      <c r="C32" t="s">
        <v>693</v>
      </c>
      <c r="D32" t="s">
        <v>694</v>
      </c>
      <c r="E32">
        <v>1</v>
      </c>
      <c r="F32" t="s">
        <v>587</v>
      </c>
      <c r="G32" t="s">
        <v>588</v>
      </c>
      <c r="I32" t="s">
        <v>589</v>
      </c>
      <c r="J32" s="5">
        <v>0.16</v>
      </c>
      <c r="K32" s="5">
        <v>0.1</v>
      </c>
      <c r="L32" s="5">
        <v>7.0000000000000007E-2</v>
      </c>
      <c r="M32" s="5">
        <v>0.16</v>
      </c>
      <c r="N32" s="5">
        <v>0.1</v>
      </c>
      <c r="O32" s="5">
        <v>7.0000000000000007E-2</v>
      </c>
      <c r="P32" s="5">
        <f t="shared" si="0"/>
        <v>1.6</v>
      </c>
      <c r="Q32" s="5">
        <f t="shared" si="1"/>
        <v>10</v>
      </c>
      <c r="R32" s="5">
        <f t="shared" si="2"/>
        <v>70</v>
      </c>
      <c r="S32" s="5">
        <f t="shared" si="3"/>
        <v>0.16</v>
      </c>
      <c r="T32" s="5">
        <f t="shared" si="4"/>
        <v>0.1</v>
      </c>
      <c r="U32" s="5">
        <f t="shared" si="5"/>
        <v>7.0000000000000007E-2</v>
      </c>
    </row>
    <row r="33" spans="1:21">
      <c r="A33" t="s">
        <v>132</v>
      </c>
      <c r="B33" t="s">
        <v>695</v>
      </c>
      <c r="C33" t="s">
        <v>696</v>
      </c>
      <c r="D33" t="s">
        <v>697</v>
      </c>
      <c r="E33">
        <v>1</v>
      </c>
      <c r="F33" t="s">
        <v>587</v>
      </c>
      <c r="G33" t="s">
        <v>588</v>
      </c>
      <c r="I33" t="s">
        <v>589</v>
      </c>
      <c r="J33" s="5">
        <v>7.4999999999999997E-2</v>
      </c>
      <c r="K33" s="5">
        <v>2.5000000000000001E-2</v>
      </c>
      <c r="L33" s="5">
        <v>8.9999999999999993E-3</v>
      </c>
      <c r="M33" s="5">
        <v>7.4999999999999997E-2</v>
      </c>
      <c r="N33" s="5">
        <v>2.5000000000000001E-2</v>
      </c>
      <c r="O33" s="5">
        <v>8.9999999999999993E-3</v>
      </c>
      <c r="P33" s="5">
        <f t="shared" si="0"/>
        <v>0.75</v>
      </c>
      <c r="Q33" s="5">
        <f t="shared" si="1"/>
        <v>2.5</v>
      </c>
      <c r="R33" s="5">
        <f t="shared" si="2"/>
        <v>9</v>
      </c>
      <c r="S33" s="5">
        <f t="shared" si="3"/>
        <v>7.4999999999999997E-2</v>
      </c>
      <c r="T33" s="5">
        <f t="shared" si="4"/>
        <v>2.5000000000000001E-2</v>
      </c>
      <c r="U33" s="5">
        <f t="shared" si="5"/>
        <v>8.9999999999999993E-3</v>
      </c>
    </row>
    <row r="34" spans="1:21">
      <c r="A34" t="s">
        <v>698</v>
      </c>
      <c r="B34" t="s">
        <v>699</v>
      </c>
      <c r="C34" t="s">
        <v>700</v>
      </c>
      <c r="D34" t="s">
        <v>701</v>
      </c>
      <c r="E34">
        <v>1</v>
      </c>
      <c r="F34" t="s">
        <v>587</v>
      </c>
      <c r="G34" t="s">
        <v>588</v>
      </c>
      <c r="I34" t="s">
        <v>589</v>
      </c>
      <c r="J34" s="5">
        <v>7.4999999999999997E-2</v>
      </c>
      <c r="K34" s="5">
        <v>2.5000000000000001E-2</v>
      </c>
      <c r="L34" s="5">
        <v>8.9999999999999993E-3</v>
      </c>
      <c r="M34" s="5">
        <v>7.4999999999999997E-2</v>
      </c>
      <c r="N34" s="5">
        <v>2.5000000000000001E-2</v>
      </c>
      <c r="O34" s="5">
        <v>8.9999999999999993E-3</v>
      </c>
      <c r="P34" s="5">
        <f t="shared" ref="P34:P65" si="6">E34*10*M34</f>
        <v>0.75</v>
      </c>
      <c r="Q34" s="5">
        <f t="shared" ref="Q34:Q65" si="7">E34*100*N34</f>
        <v>2.5</v>
      </c>
      <c r="R34" s="5">
        <f t="shared" ref="R34:R65" si="8">E34*1000*O34</f>
        <v>9</v>
      </c>
      <c r="S34" s="5">
        <f t="shared" ref="S34:S65" si="9">P34/10</f>
        <v>7.4999999999999997E-2</v>
      </c>
      <c r="T34" s="5">
        <f t="shared" ref="T34:T65" si="10">Q34/100</f>
        <v>2.5000000000000001E-2</v>
      </c>
      <c r="U34" s="5">
        <f t="shared" ref="U34:U65" si="11">R34/1000</f>
        <v>8.9999999999999993E-3</v>
      </c>
    </row>
    <row r="35" spans="1:21">
      <c r="A35" t="s">
        <v>702</v>
      </c>
      <c r="B35" t="s">
        <v>703</v>
      </c>
      <c r="C35" t="s">
        <v>704</v>
      </c>
      <c r="D35" t="s">
        <v>705</v>
      </c>
      <c r="E35">
        <v>1</v>
      </c>
      <c r="F35" t="s">
        <v>587</v>
      </c>
      <c r="G35" t="s">
        <v>588</v>
      </c>
      <c r="I35" t="s">
        <v>589</v>
      </c>
      <c r="J35" s="5">
        <v>7.4999999999999997E-2</v>
      </c>
      <c r="K35" s="5">
        <v>2.5000000000000001E-2</v>
      </c>
      <c r="L35" s="5">
        <v>8.9999999999999993E-3</v>
      </c>
      <c r="M35" s="5">
        <v>7.4999999999999997E-2</v>
      </c>
      <c r="N35" s="5">
        <v>2.5000000000000001E-2</v>
      </c>
      <c r="O35" s="5">
        <v>8.9999999999999993E-3</v>
      </c>
      <c r="P35" s="5">
        <f t="shared" si="6"/>
        <v>0.75</v>
      </c>
      <c r="Q35" s="5">
        <f t="shared" si="7"/>
        <v>2.5</v>
      </c>
      <c r="R35" s="5">
        <f t="shared" si="8"/>
        <v>9</v>
      </c>
      <c r="S35" s="5">
        <f t="shared" si="9"/>
        <v>7.4999999999999997E-2</v>
      </c>
      <c r="T35" s="5">
        <f t="shared" si="10"/>
        <v>2.5000000000000001E-2</v>
      </c>
      <c r="U35" s="5">
        <f t="shared" si="11"/>
        <v>8.9999999999999993E-3</v>
      </c>
    </row>
    <row r="36" spans="1:21">
      <c r="A36" t="s">
        <v>706</v>
      </c>
      <c r="B36" t="s">
        <v>707</v>
      </c>
      <c r="C36" t="s">
        <v>708</v>
      </c>
      <c r="D36" t="s">
        <v>709</v>
      </c>
      <c r="E36">
        <v>2</v>
      </c>
      <c r="F36" t="s">
        <v>587</v>
      </c>
      <c r="G36" t="s">
        <v>588</v>
      </c>
      <c r="I36" t="s">
        <v>589</v>
      </c>
      <c r="J36" s="5">
        <v>7.4999999999999997E-2</v>
      </c>
      <c r="K36" s="5">
        <v>2.5000000000000001E-2</v>
      </c>
      <c r="L36" s="5">
        <v>8.9999999999999993E-3</v>
      </c>
      <c r="M36" s="5">
        <v>7.4999999999999997E-2</v>
      </c>
      <c r="N36" s="5">
        <v>2.5000000000000001E-2</v>
      </c>
      <c r="O36" s="5">
        <v>8.9999999999999993E-3</v>
      </c>
      <c r="P36" s="5">
        <f t="shared" si="6"/>
        <v>1.5</v>
      </c>
      <c r="Q36" s="5">
        <f t="shared" si="7"/>
        <v>5</v>
      </c>
      <c r="R36" s="5">
        <f t="shared" si="8"/>
        <v>18</v>
      </c>
      <c r="S36" s="5">
        <f t="shared" si="9"/>
        <v>0.15</v>
      </c>
      <c r="T36" s="5">
        <f t="shared" si="10"/>
        <v>0.05</v>
      </c>
      <c r="U36" s="5">
        <f t="shared" si="11"/>
        <v>1.7999999999999999E-2</v>
      </c>
    </row>
    <row r="37" spans="1:21">
      <c r="A37" t="s">
        <v>710</v>
      </c>
      <c r="B37" t="s">
        <v>530</v>
      </c>
      <c r="C37" t="s">
        <v>591</v>
      </c>
      <c r="D37" t="s">
        <v>711</v>
      </c>
      <c r="E37">
        <v>1</v>
      </c>
      <c r="F37" t="s">
        <v>587</v>
      </c>
      <c r="G37" t="s">
        <v>593</v>
      </c>
      <c r="I37" t="s">
        <v>594</v>
      </c>
      <c r="J37" s="5">
        <v>5.5</v>
      </c>
      <c r="K37" s="5">
        <v>4.2</v>
      </c>
      <c r="L37" s="5">
        <v>3.2</v>
      </c>
      <c r="M37" s="5">
        <v>5.5</v>
      </c>
      <c r="N37" s="5">
        <v>4.2</v>
      </c>
      <c r="O37" s="5">
        <v>3.2</v>
      </c>
      <c r="P37" s="5">
        <f t="shared" si="6"/>
        <v>55</v>
      </c>
      <c r="Q37" s="5">
        <f t="shared" si="7"/>
        <v>420</v>
      </c>
      <c r="R37" s="5">
        <f t="shared" si="8"/>
        <v>3200</v>
      </c>
      <c r="S37" s="5">
        <f t="shared" si="9"/>
        <v>5.5</v>
      </c>
      <c r="T37" s="5">
        <f t="shared" si="10"/>
        <v>4.2</v>
      </c>
      <c r="U37" s="5">
        <f t="shared" si="11"/>
        <v>3.2</v>
      </c>
    </row>
    <row r="38" spans="1:21">
      <c r="A38" t="s">
        <v>712</v>
      </c>
      <c r="B38" t="s">
        <v>519</v>
      </c>
      <c r="C38" t="s">
        <v>713</v>
      </c>
      <c r="D38" t="s">
        <v>714</v>
      </c>
      <c r="E38">
        <v>1</v>
      </c>
      <c r="F38" t="s">
        <v>715</v>
      </c>
      <c r="G38" t="s">
        <v>716</v>
      </c>
      <c r="H38" t="s">
        <v>717</v>
      </c>
      <c r="I38" t="s">
        <v>718</v>
      </c>
      <c r="J38" s="5">
        <v>7.77</v>
      </c>
      <c r="K38" s="5">
        <v>6.65</v>
      </c>
      <c r="L38" s="5">
        <v>5.9</v>
      </c>
      <c r="M38" s="5">
        <v>7.77</v>
      </c>
      <c r="N38" s="5">
        <v>6.65</v>
      </c>
      <c r="O38" s="5">
        <v>5.9</v>
      </c>
      <c r="P38" s="5">
        <f t="shared" si="6"/>
        <v>77.699999999999989</v>
      </c>
      <c r="Q38" s="5">
        <f t="shared" si="7"/>
        <v>665</v>
      </c>
      <c r="R38" s="5">
        <f t="shared" si="8"/>
        <v>5900</v>
      </c>
      <c r="S38" s="5">
        <f t="shared" si="9"/>
        <v>7.7699999999999987</v>
      </c>
      <c r="T38" s="5">
        <f t="shared" si="10"/>
        <v>6.65</v>
      </c>
      <c r="U38" s="5">
        <f t="shared" si="11"/>
        <v>5.9</v>
      </c>
    </row>
    <row r="39" spans="1:21">
      <c r="A39" t="s">
        <v>719</v>
      </c>
      <c r="B39" t="s">
        <v>560</v>
      </c>
      <c r="C39" t="s">
        <v>720</v>
      </c>
      <c r="D39" t="s">
        <v>721</v>
      </c>
      <c r="E39">
        <v>2</v>
      </c>
      <c r="F39" t="s">
        <v>587</v>
      </c>
      <c r="G39" t="s">
        <v>593</v>
      </c>
      <c r="I39" t="s">
        <v>594</v>
      </c>
      <c r="J39" s="5">
        <v>11</v>
      </c>
      <c r="K39" s="5">
        <v>9.5</v>
      </c>
      <c r="L39" s="5">
        <v>8.1999999999999993</v>
      </c>
      <c r="M39" s="5">
        <v>11</v>
      </c>
      <c r="N39" s="5">
        <v>9.5</v>
      </c>
      <c r="O39" s="5">
        <v>8.1999999999999993</v>
      </c>
      <c r="P39" s="5">
        <f t="shared" si="6"/>
        <v>220</v>
      </c>
      <c r="Q39" s="5">
        <f t="shared" si="7"/>
        <v>1900</v>
      </c>
      <c r="R39" s="5">
        <f t="shared" si="8"/>
        <v>16400</v>
      </c>
      <c r="S39" s="5">
        <f t="shared" si="9"/>
        <v>22</v>
      </c>
      <c r="T39" s="5">
        <f t="shared" si="10"/>
        <v>19</v>
      </c>
      <c r="U39" s="5">
        <f t="shared" si="11"/>
        <v>16.399999999999999</v>
      </c>
    </row>
    <row r="40" spans="1:21">
      <c r="A40" t="s">
        <v>722</v>
      </c>
      <c r="B40" t="s">
        <v>555</v>
      </c>
      <c r="C40" t="s">
        <v>723</v>
      </c>
      <c r="D40" t="s">
        <v>724</v>
      </c>
      <c r="E40">
        <v>1</v>
      </c>
      <c r="F40" t="s">
        <v>587</v>
      </c>
      <c r="G40" t="s">
        <v>593</v>
      </c>
      <c r="I40" t="s">
        <v>594</v>
      </c>
      <c r="J40" s="5">
        <v>4.5</v>
      </c>
      <c r="K40" s="5">
        <v>3.6</v>
      </c>
      <c r="L40" s="5">
        <v>2.9</v>
      </c>
      <c r="M40" s="5">
        <v>4.5</v>
      </c>
      <c r="N40" s="5">
        <v>3.6</v>
      </c>
      <c r="O40" s="5">
        <v>2.9</v>
      </c>
      <c r="P40" s="5">
        <f t="shared" si="6"/>
        <v>45</v>
      </c>
      <c r="Q40" s="5">
        <f t="shared" si="7"/>
        <v>360</v>
      </c>
      <c r="R40" s="5">
        <f t="shared" si="8"/>
        <v>2900</v>
      </c>
      <c r="S40" s="5">
        <f t="shared" si="9"/>
        <v>4.5</v>
      </c>
      <c r="T40" s="5">
        <f t="shared" si="10"/>
        <v>3.6</v>
      </c>
      <c r="U40" s="5">
        <f t="shared" si="11"/>
        <v>2.9</v>
      </c>
    </row>
    <row r="41" spans="1:21">
      <c r="A41" t="s">
        <v>725</v>
      </c>
      <c r="B41" t="s">
        <v>558</v>
      </c>
      <c r="C41" t="s">
        <v>723</v>
      </c>
      <c r="D41" t="s">
        <v>726</v>
      </c>
      <c r="E41">
        <v>1</v>
      </c>
      <c r="F41" t="s">
        <v>715</v>
      </c>
      <c r="G41" t="s">
        <v>727</v>
      </c>
      <c r="H41" t="s">
        <v>728</v>
      </c>
      <c r="I41" t="s">
        <v>729</v>
      </c>
      <c r="J41" s="5">
        <v>11</v>
      </c>
      <c r="K41" s="5">
        <v>8.8375000000000004</v>
      </c>
      <c r="L41" s="5">
        <v>8.43</v>
      </c>
      <c r="M41" s="5">
        <v>11</v>
      </c>
      <c r="N41" s="5">
        <v>8.8375000000000004</v>
      </c>
      <c r="O41" s="5">
        <v>8.43</v>
      </c>
      <c r="P41" s="5">
        <f t="shared" si="6"/>
        <v>110</v>
      </c>
      <c r="Q41" s="5">
        <f t="shared" si="7"/>
        <v>883.75</v>
      </c>
      <c r="R41" s="5">
        <f t="shared" si="8"/>
        <v>8430</v>
      </c>
      <c r="S41" s="5">
        <f t="shared" si="9"/>
        <v>11</v>
      </c>
      <c r="T41" s="5">
        <f t="shared" si="10"/>
        <v>8.8375000000000004</v>
      </c>
      <c r="U41" s="5">
        <f t="shared" si="11"/>
        <v>8.43</v>
      </c>
    </row>
    <row r="42" spans="1:21">
      <c r="A42" t="s">
        <v>730</v>
      </c>
      <c r="B42" t="s">
        <v>527</v>
      </c>
      <c r="C42" t="s">
        <v>731</v>
      </c>
      <c r="D42" t="s">
        <v>732</v>
      </c>
      <c r="E42">
        <v>1</v>
      </c>
      <c r="F42" t="s">
        <v>587</v>
      </c>
      <c r="G42" t="s">
        <v>593</v>
      </c>
      <c r="I42" t="s">
        <v>594</v>
      </c>
      <c r="J42" s="5">
        <v>4.4000000000000004</v>
      </c>
      <c r="K42" s="5">
        <v>3.3</v>
      </c>
      <c r="L42" s="5">
        <v>2.5</v>
      </c>
      <c r="M42" s="5">
        <v>4.4000000000000004</v>
      </c>
      <c r="N42" s="5">
        <v>3.3</v>
      </c>
      <c r="O42" s="5">
        <v>2.5</v>
      </c>
      <c r="P42" s="5">
        <f t="shared" si="6"/>
        <v>44</v>
      </c>
      <c r="Q42" s="5">
        <f t="shared" si="7"/>
        <v>330</v>
      </c>
      <c r="R42" s="5">
        <f t="shared" si="8"/>
        <v>2500</v>
      </c>
      <c r="S42" s="5">
        <f t="shared" si="9"/>
        <v>4.4000000000000004</v>
      </c>
      <c r="T42" s="5">
        <f t="shared" si="10"/>
        <v>3.3</v>
      </c>
      <c r="U42" s="5">
        <f t="shared" si="11"/>
        <v>2.5</v>
      </c>
    </row>
    <row r="43" spans="1:21">
      <c r="A43" t="s">
        <v>733</v>
      </c>
      <c r="B43" t="s">
        <v>734</v>
      </c>
      <c r="C43" t="s">
        <v>735</v>
      </c>
      <c r="D43" t="s">
        <v>736</v>
      </c>
      <c r="E43">
        <v>3</v>
      </c>
      <c r="F43" t="s">
        <v>587</v>
      </c>
      <c r="G43" t="s">
        <v>588</v>
      </c>
      <c r="I43" t="s">
        <v>589</v>
      </c>
      <c r="J43" s="5">
        <v>0.24</v>
      </c>
      <c r="K43" s="5">
        <v>0.15</v>
      </c>
      <c r="L43" s="5">
        <v>0.1</v>
      </c>
      <c r="M43" s="5">
        <v>0.24</v>
      </c>
      <c r="N43" s="5">
        <v>0.15</v>
      </c>
      <c r="O43" s="5">
        <v>0.1</v>
      </c>
      <c r="P43" s="5">
        <f t="shared" si="6"/>
        <v>7.1999999999999993</v>
      </c>
      <c r="Q43" s="5">
        <f t="shared" si="7"/>
        <v>45</v>
      </c>
      <c r="R43" s="5">
        <f t="shared" si="8"/>
        <v>300</v>
      </c>
      <c r="S43" s="5">
        <f t="shared" si="9"/>
        <v>0.72</v>
      </c>
      <c r="T43" s="5">
        <f t="shared" si="10"/>
        <v>0.45</v>
      </c>
      <c r="U43" s="5">
        <f t="shared" si="11"/>
        <v>0.3</v>
      </c>
    </row>
    <row r="44" spans="1:21">
      <c r="A44" t="s">
        <v>737</v>
      </c>
      <c r="B44" t="s">
        <v>738</v>
      </c>
      <c r="C44" t="s">
        <v>739</v>
      </c>
      <c r="D44" t="s">
        <v>740</v>
      </c>
      <c r="E44">
        <v>1</v>
      </c>
      <c r="F44" t="s">
        <v>587</v>
      </c>
      <c r="G44" t="s">
        <v>588</v>
      </c>
      <c r="I44" t="s">
        <v>589</v>
      </c>
      <c r="J44" s="5">
        <v>0.24</v>
      </c>
      <c r="K44" s="5">
        <v>0.15</v>
      </c>
      <c r="L44" s="5">
        <v>0.1</v>
      </c>
      <c r="M44" s="5">
        <v>0.24</v>
      </c>
      <c r="N44" s="5">
        <v>0.15</v>
      </c>
      <c r="O44" s="5">
        <v>0.1</v>
      </c>
      <c r="P44" s="5">
        <f t="shared" si="6"/>
        <v>2.4</v>
      </c>
      <c r="Q44" s="5">
        <f t="shared" si="7"/>
        <v>15</v>
      </c>
      <c r="R44" s="5">
        <f t="shared" si="8"/>
        <v>100</v>
      </c>
      <c r="S44" s="5">
        <f t="shared" si="9"/>
        <v>0.24</v>
      </c>
      <c r="T44" s="5">
        <f t="shared" si="10"/>
        <v>0.15</v>
      </c>
      <c r="U44" s="5">
        <f t="shared" si="11"/>
        <v>0.1</v>
      </c>
    </row>
    <row r="45" spans="1:21">
      <c r="A45" t="s">
        <v>741</v>
      </c>
      <c r="B45" t="s">
        <v>742</v>
      </c>
      <c r="C45" t="s">
        <v>743</v>
      </c>
      <c r="D45" t="s">
        <v>744</v>
      </c>
      <c r="E45">
        <v>1</v>
      </c>
      <c r="F45" t="s">
        <v>587</v>
      </c>
      <c r="G45" t="s">
        <v>588</v>
      </c>
      <c r="I45" t="s">
        <v>589</v>
      </c>
      <c r="J45" s="5">
        <v>0.24</v>
      </c>
      <c r="K45" s="5">
        <v>0.15</v>
      </c>
      <c r="L45" s="5">
        <v>0.1</v>
      </c>
      <c r="M45" s="5">
        <v>0.24</v>
      </c>
      <c r="N45" s="5">
        <v>0.15</v>
      </c>
      <c r="O45" s="5">
        <v>0.1</v>
      </c>
      <c r="P45" s="5">
        <f t="shared" si="6"/>
        <v>2.4</v>
      </c>
      <c r="Q45" s="5">
        <f t="shared" si="7"/>
        <v>15</v>
      </c>
      <c r="R45" s="5">
        <f t="shared" si="8"/>
        <v>100</v>
      </c>
      <c r="S45" s="5">
        <f t="shared" si="9"/>
        <v>0.24</v>
      </c>
      <c r="T45" s="5">
        <f t="shared" si="10"/>
        <v>0.15</v>
      </c>
      <c r="U45" s="5">
        <f t="shared" si="11"/>
        <v>0.1</v>
      </c>
    </row>
    <row r="46" spans="1:21">
      <c r="A46" t="s">
        <v>745</v>
      </c>
      <c r="B46" t="s">
        <v>746</v>
      </c>
      <c r="C46" t="s">
        <v>747</v>
      </c>
      <c r="D46" t="s">
        <v>748</v>
      </c>
      <c r="E46">
        <v>1</v>
      </c>
      <c r="F46" t="s">
        <v>587</v>
      </c>
      <c r="G46" t="s">
        <v>588</v>
      </c>
      <c r="I46" t="s">
        <v>589</v>
      </c>
      <c r="J46" s="5">
        <v>0.24</v>
      </c>
      <c r="K46" s="5">
        <v>0.15</v>
      </c>
      <c r="L46" s="5">
        <v>0.1</v>
      </c>
      <c r="M46" s="5">
        <v>0.24</v>
      </c>
      <c r="N46" s="5">
        <v>0.15</v>
      </c>
      <c r="O46" s="5">
        <v>0.1</v>
      </c>
      <c r="P46" s="5">
        <f t="shared" si="6"/>
        <v>2.4</v>
      </c>
      <c r="Q46" s="5">
        <f t="shared" si="7"/>
        <v>15</v>
      </c>
      <c r="R46" s="5">
        <f t="shared" si="8"/>
        <v>100</v>
      </c>
      <c r="S46" s="5">
        <f t="shared" si="9"/>
        <v>0.24</v>
      </c>
      <c r="T46" s="5">
        <f t="shared" si="10"/>
        <v>0.15</v>
      </c>
      <c r="U46" s="5">
        <f t="shared" si="11"/>
        <v>0.1</v>
      </c>
    </row>
    <row r="47" spans="1:21">
      <c r="A47" t="s">
        <v>749</v>
      </c>
      <c r="B47" t="s">
        <v>750</v>
      </c>
      <c r="C47" t="s">
        <v>751</v>
      </c>
      <c r="D47" t="s">
        <v>752</v>
      </c>
      <c r="E47">
        <v>3</v>
      </c>
      <c r="F47" t="s">
        <v>587</v>
      </c>
      <c r="G47" t="s">
        <v>588</v>
      </c>
      <c r="I47" t="s">
        <v>589</v>
      </c>
      <c r="J47" s="5">
        <v>0.24</v>
      </c>
      <c r="K47" s="5">
        <v>0.15</v>
      </c>
      <c r="L47" s="5">
        <v>0.1</v>
      </c>
      <c r="M47" s="5">
        <v>0.24</v>
      </c>
      <c r="N47" s="5">
        <v>0.15</v>
      </c>
      <c r="O47" s="5">
        <v>0.1</v>
      </c>
      <c r="P47" s="5">
        <f t="shared" si="6"/>
        <v>7.1999999999999993</v>
      </c>
      <c r="Q47" s="5">
        <f t="shared" si="7"/>
        <v>45</v>
      </c>
      <c r="R47" s="5">
        <f t="shared" si="8"/>
        <v>300</v>
      </c>
      <c r="S47" s="5">
        <f t="shared" si="9"/>
        <v>0.72</v>
      </c>
      <c r="T47" s="5">
        <f t="shared" si="10"/>
        <v>0.45</v>
      </c>
      <c r="U47" s="5">
        <f t="shared" si="11"/>
        <v>0.3</v>
      </c>
    </row>
    <row r="48" spans="1:21">
      <c r="A48" t="s">
        <v>753</v>
      </c>
      <c r="B48" t="s">
        <v>754</v>
      </c>
      <c r="C48" t="s">
        <v>755</v>
      </c>
      <c r="D48" t="s">
        <v>756</v>
      </c>
      <c r="E48">
        <v>1</v>
      </c>
      <c r="F48" t="s">
        <v>587</v>
      </c>
      <c r="G48" t="s">
        <v>588</v>
      </c>
      <c r="I48" t="s">
        <v>589</v>
      </c>
      <c r="J48" s="5">
        <v>0.24</v>
      </c>
      <c r="K48" s="5">
        <v>0.15</v>
      </c>
      <c r="L48" s="5">
        <v>0.1</v>
      </c>
      <c r="M48" s="5">
        <v>0.24</v>
      </c>
      <c r="N48" s="5">
        <v>0.15</v>
      </c>
      <c r="O48" s="5">
        <v>0.1</v>
      </c>
      <c r="P48" s="5">
        <f t="shared" si="6"/>
        <v>2.4</v>
      </c>
      <c r="Q48" s="5">
        <f t="shared" si="7"/>
        <v>15</v>
      </c>
      <c r="R48" s="5">
        <f t="shared" si="8"/>
        <v>100</v>
      </c>
      <c r="S48" s="5">
        <f t="shared" si="9"/>
        <v>0.24</v>
      </c>
      <c r="T48" s="5">
        <f t="shared" si="10"/>
        <v>0.15</v>
      </c>
      <c r="U48" s="5">
        <f t="shared" si="11"/>
        <v>0.1</v>
      </c>
    </row>
    <row r="49" spans="1:21">
      <c r="A49" t="s">
        <v>757</v>
      </c>
      <c r="B49" t="s">
        <v>758</v>
      </c>
      <c r="C49" t="s">
        <v>759</v>
      </c>
      <c r="D49" t="s">
        <v>760</v>
      </c>
      <c r="E49">
        <v>1</v>
      </c>
      <c r="F49" t="s">
        <v>587</v>
      </c>
      <c r="G49" t="s">
        <v>588</v>
      </c>
      <c r="I49" t="s">
        <v>589</v>
      </c>
      <c r="J49" s="5">
        <v>0.24</v>
      </c>
      <c r="K49" s="5">
        <v>0.15</v>
      </c>
      <c r="L49" s="5">
        <v>0.1</v>
      </c>
      <c r="M49" s="5">
        <v>0.24</v>
      </c>
      <c r="N49" s="5">
        <v>0.15</v>
      </c>
      <c r="O49" s="5">
        <v>0.1</v>
      </c>
      <c r="P49" s="5">
        <f t="shared" si="6"/>
        <v>2.4</v>
      </c>
      <c r="Q49" s="5">
        <f t="shared" si="7"/>
        <v>15</v>
      </c>
      <c r="R49" s="5">
        <f t="shared" si="8"/>
        <v>100</v>
      </c>
      <c r="S49" s="5">
        <f t="shared" si="9"/>
        <v>0.24</v>
      </c>
      <c r="T49" s="5">
        <f t="shared" si="10"/>
        <v>0.15</v>
      </c>
      <c r="U49" s="5">
        <f t="shared" si="11"/>
        <v>0.1</v>
      </c>
    </row>
    <row r="50" spans="1:21">
      <c r="A50" t="s">
        <v>761</v>
      </c>
      <c r="B50" t="s">
        <v>762</v>
      </c>
      <c r="C50" t="s">
        <v>763</v>
      </c>
      <c r="D50" t="s">
        <v>764</v>
      </c>
      <c r="E50">
        <v>1</v>
      </c>
      <c r="F50" t="s">
        <v>587</v>
      </c>
      <c r="G50" t="s">
        <v>588</v>
      </c>
      <c r="I50" t="s">
        <v>589</v>
      </c>
      <c r="J50" s="5">
        <v>0.24</v>
      </c>
      <c r="K50" s="5">
        <v>0.15</v>
      </c>
      <c r="L50" s="5">
        <v>0.1</v>
      </c>
      <c r="M50" s="5">
        <v>0.24</v>
      </c>
      <c r="N50" s="5">
        <v>0.15</v>
      </c>
      <c r="O50" s="5">
        <v>0.1</v>
      </c>
      <c r="P50" s="5">
        <f t="shared" si="6"/>
        <v>2.4</v>
      </c>
      <c r="Q50" s="5">
        <f t="shared" si="7"/>
        <v>15</v>
      </c>
      <c r="R50" s="5">
        <f t="shared" si="8"/>
        <v>100</v>
      </c>
      <c r="S50" s="5">
        <f t="shared" si="9"/>
        <v>0.24</v>
      </c>
      <c r="T50" s="5">
        <f t="shared" si="10"/>
        <v>0.15</v>
      </c>
      <c r="U50" s="5">
        <f t="shared" si="11"/>
        <v>0.1</v>
      </c>
    </row>
    <row r="51" spans="1:21">
      <c r="A51" t="s">
        <v>113</v>
      </c>
      <c r="B51" t="s">
        <v>765</v>
      </c>
      <c r="C51" t="s">
        <v>766</v>
      </c>
      <c r="D51" t="s">
        <v>767</v>
      </c>
      <c r="E51">
        <v>3</v>
      </c>
      <c r="F51" t="s">
        <v>587</v>
      </c>
      <c r="G51" t="s">
        <v>588</v>
      </c>
      <c r="I51" t="s">
        <v>589</v>
      </c>
      <c r="J51" s="5">
        <v>7.4999999999999997E-2</v>
      </c>
      <c r="K51" s="5">
        <v>2.5000000000000001E-2</v>
      </c>
      <c r="L51" s="5">
        <v>8.9999999999999993E-3</v>
      </c>
      <c r="M51" s="5">
        <v>7.4999999999999997E-2</v>
      </c>
      <c r="N51" s="5">
        <v>2.5000000000000001E-2</v>
      </c>
      <c r="O51" s="5">
        <v>8.9999999999999993E-3</v>
      </c>
      <c r="P51" s="5">
        <f t="shared" si="6"/>
        <v>2.25</v>
      </c>
      <c r="Q51" s="5">
        <f t="shared" si="7"/>
        <v>7.5</v>
      </c>
      <c r="R51" s="5">
        <f t="shared" si="8"/>
        <v>26.999999999999996</v>
      </c>
      <c r="S51" s="5">
        <f t="shared" si="9"/>
        <v>0.22500000000000001</v>
      </c>
      <c r="T51" s="5">
        <f t="shared" si="10"/>
        <v>7.4999999999999997E-2</v>
      </c>
      <c r="U51" s="5">
        <f t="shared" si="11"/>
        <v>2.6999999999999996E-2</v>
      </c>
    </row>
    <row r="52" spans="1:21">
      <c r="A52" t="s">
        <v>768</v>
      </c>
      <c r="B52" t="s">
        <v>769</v>
      </c>
      <c r="C52" t="s">
        <v>770</v>
      </c>
      <c r="D52" t="s">
        <v>771</v>
      </c>
      <c r="E52">
        <v>1</v>
      </c>
      <c r="F52" t="s">
        <v>587</v>
      </c>
      <c r="G52" t="s">
        <v>772</v>
      </c>
      <c r="I52" t="s">
        <v>773</v>
      </c>
      <c r="J52" s="5">
        <v>0.35</v>
      </c>
      <c r="K52" s="5">
        <v>0.2</v>
      </c>
      <c r="L52" s="5">
        <v>0.12</v>
      </c>
      <c r="M52" s="5">
        <v>0.35</v>
      </c>
      <c r="N52" s="5">
        <v>0.2</v>
      </c>
      <c r="O52" s="5">
        <v>0.12</v>
      </c>
      <c r="P52" s="5">
        <f t="shared" si="6"/>
        <v>3.5</v>
      </c>
      <c r="Q52" s="5">
        <f t="shared" si="7"/>
        <v>20</v>
      </c>
      <c r="R52" s="5">
        <f t="shared" si="8"/>
        <v>120</v>
      </c>
      <c r="S52" s="5">
        <f t="shared" si="9"/>
        <v>0.35</v>
      </c>
      <c r="T52" s="5">
        <f t="shared" si="10"/>
        <v>0.2</v>
      </c>
      <c r="U52" s="5">
        <f t="shared" si="11"/>
        <v>0.12</v>
      </c>
    </row>
    <row r="53" spans="1:21">
      <c r="A53" t="s">
        <v>774</v>
      </c>
      <c r="B53" t="s">
        <v>775</v>
      </c>
      <c r="C53" t="s">
        <v>776</v>
      </c>
      <c r="D53" t="s">
        <v>777</v>
      </c>
      <c r="E53">
        <v>1</v>
      </c>
      <c r="F53" t="s">
        <v>587</v>
      </c>
      <c r="G53" t="s">
        <v>588</v>
      </c>
      <c r="I53" t="s">
        <v>589</v>
      </c>
      <c r="J53" s="5">
        <v>7.4999999999999997E-2</v>
      </c>
      <c r="K53" s="5">
        <v>2.5000000000000001E-2</v>
      </c>
      <c r="L53" s="5">
        <v>8.9999999999999993E-3</v>
      </c>
      <c r="M53" s="5">
        <v>7.4999999999999997E-2</v>
      </c>
      <c r="N53" s="5">
        <v>2.5000000000000001E-2</v>
      </c>
      <c r="O53" s="5">
        <v>8.9999999999999993E-3</v>
      </c>
      <c r="P53" s="5">
        <f t="shared" si="6"/>
        <v>0.75</v>
      </c>
      <c r="Q53" s="5">
        <f t="shared" si="7"/>
        <v>2.5</v>
      </c>
      <c r="R53" s="5">
        <f t="shared" si="8"/>
        <v>9</v>
      </c>
      <c r="S53" s="5">
        <f t="shared" si="9"/>
        <v>7.4999999999999997E-2</v>
      </c>
      <c r="T53" s="5">
        <f t="shared" si="10"/>
        <v>2.5000000000000001E-2</v>
      </c>
      <c r="U53" s="5">
        <f t="shared" si="11"/>
        <v>8.9999999999999993E-3</v>
      </c>
    </row>
    <row r="54" spans="1:21">
      <c r="A54" t="s">
        <v>778</v>
      </c>
      <c r="B54" t="s">
        <v>779</v>
      </c>
      <c r="C54" t="s">
        <v>780</v>
      </c>
      <c r="D54" t="s">
        <v>781</v>
      </c>
      <c r="E54">
        <v>2</v>
      </c>
      <c r="F54" t="s">
        <v>587</v>
      </c>
      <c r="G54" t="s">
        <v>772</v>
      </c>
      <c r="I54" t="s">
        <v>773</v>
      </c>
      <c r="J54" s="5">
        <v>0.35</v>
      </c>
      <c r="K54" s="5">
        <v>0.2</v>
      </c>
      <c r="L54" s="5">
        <v>0.12</v>
      </c>
      <c r="M54" s="5">
        <v>0.35</v>
      </c>
      <c r="N54" s="5">
        <v>0.2</v>
      </c>
      <c r="O54" s="5">
        <v>0.12</v>
      </c>
      <c r="P54" s="5">
        <f t="shared" si="6"/>
        <v>7</v>
      </c>
      <c r="Q54" s="5">
        <f t="shared" si="7"/>
        <v>40</v>
      </c>
      <c r="R54" s="5">
        <f t="shared" si="8"/>
        <v>240</v>
      </c>
      <c r="S54" s="5">
        <f t="shared" si="9"/>
        <v>0.7</v>
      </c>
      <c r="T54" s="5">
        <f t="shared" si="10"/>
        <v>0.4</v>
      </c>
      <c r="U54" s="5">
        <f t="shared" si="11"/>
        <v>0.24</v>
      </c>
    </row>
    <row r="55" spans="1:21">
      <c r="A55" t="s">
        <v>782</v>
      </c>
      <c r="B55" t="s">
        <v>783</v>
      </c>
      <c r="C55" t="s">
        <v>784</v>
      </c>
      <c r="D55" t="s">
        <v>785</v>
      </c>
      <c r="E55">
        <v>1</v>
      </c>
      <c r="F55" t="s">
        <v>587</v>
      </c>
      <c r="G55" t="s">
        <v>588</v>
      </c>
      <c r="I55" t="s">
        <v>589</v>
      </c>
      <c r="J55" s="5">
        <v>7.4999999999999997E-2</v>
      </c>
      <c r="K55" s="5">
        <v>2.5000000000000001E-2</v>
      </c>
      <c r="L55" s="5">
        <v>8.9999999999999993E-3</v>
      </c>
      <c r="M55" s="5">
        <v>7.4999999999999997E-2</v>
      </c>
      <c r="N55" s="5">
        <v>2.5000000000000001E-2</v>
      </c>
      <c r="O55" s="5">
        <v>8.9999999999999993E-3</v>
      </c>
      <c r="P55" s="5">
        <f t="shared" si="6"/>
        <v>0.75</v>
      </c>
      <c r="Q55" s="5">
        <f t="shared" si="7"/>
        <v>2.5</v>
      </c>
      <c r="R55" s="5">
        <f t="shared" si="8"/>
        <v>9</v>
      </c>
      <c r="S55" s="5">
        <f t="shared" si="9"/>
        <v>7.4999999999999997E-2</v>
      </c>
      <c r="T55" s="5">
        <f t="shared" si="10"/>
        <v>2.5000000000000001E-2</v>
      </c>
      <c r="U55" s="5">
        <f t="shared" si="11"/>
        <v>8.9999999999999993E-3</v>
      </c>
    </row>
    <row r="56" spans="1:21">
      <c r="A56" t="s">
        <v>786</v>
      </c>
      <c r="B56" t="s">
        <v>787</v>
      </c>
      <c r="C56" t="s">
        <v>788</v>
      </c>
      <c r="D56" t="s">
        <v>789</v>
      </c>
      <c r="E56">
        <v>1</v>
      </c>
      <c r="F56" t="s">
        <v>587</v>
      </c>
      <c r="G56" t="s">
        <v>588</v>
      </c>
      <c r="I56" t="s">
        <v>589</v>
      </c>
      <c r="J56" s="5">
        <v>7.4999999999999997E-2</v>
      </c>
      <c r="K56" s="5">
        <v>2.5000000000000001E-2</v>
      </c>
      <c r="L56" s="5">
        <v>8.9999999999999993E-3</v>
      </c>
      <c r="M56" s="5">
        <v>7.4999999999999997E-2</v>
      </c>
      <c r="N56" s="5">
        <v>2.5000000000000001E-2</v>
      </c>
      <c r="O56" s="5">
        <v>8.9999999999999993E-3</v>
      </c>
      <c r="P56" s="5">
        <f t="shared" si="6"/>
        <v>0.75</v>
      </c>
      <c r="Q56" s="5">
        <f t="shared" si="7"/>
        <v>2.5</v>
      </c>
      <c r="R56" s="5">
        <f t="shared" si="8"/>
        <v>9</v>
      </c>
      <c r="S56" s="5">
        <f t="shared" si="9"/>
        <v>7.4999999999999997E-2</v>
      </c>
      <c r="T56" s="5">
        <f t="shared" si="10"/>
        <v>2.5000000000000001E-2</v>
      </c>
      <c r="U56" s="5">
        <f t="shared" si="11"/>
        <v>8.9999999999999993E-3</v>
      </c>
    </row>
    <row r="57" spans="1:21">
      <c r="A57" t="s">
        <v>790</v>
      </c>
      <c r="B57" t="s">
        <v>791</v>
      </c>
      <c r="C57" t="s">
        <v>792</v>
      </c>
      <c r="D57" t="s">
        <v>793</v>
      </c>
      <c r="E57">
        <v>1</v>
      </c>
      <c r="F57" t="s">
        <v>587</v>
      </c>
      <c r="G57" t="s">
        <v>588</v>
      </c>
      <c r="I57" t="s">
        <v>589</v>
      </c>
      <c r="J57" s="5">
        <v>7.4999999999999997E-2</v>
      </c>
      <c r="K57" s="5">
        <v>2.5000000000000001E-2</v>
      </c>
      <c r="L57" s="5">
        <v>8.9999999999999993E-3</v>
      </c>
      <c r="M57" s="5">
        <v>7.4999999999999997E-2</v>
      </c>
      <c r="N57" s="5">
        <v>2.5000000000000001E-2</v>
      </c>
      <c r="O57" s="5">
        <v>8.9999999999999993E-3</v>
      </c>
      <c r="P57" s="5">
        <f t="shared" si="6"/>
        <v>0.75</v>
      </c>
      <c r="Q57" s="5">
        <f t="shared" si="7"/>
        <v>2.5</v>
      </c>
      <c r="R57" s="5">
        <f t="shared" si="8"/>
        <v>9</v>
      </c>
      <c r="S57" s="5">
        <f t="shared" si="9"/>
        <v>7.4999999999999997E-2</v>
      </c>
      <c r="T57" s="5">
        <f t="shared" si="10"/>
        <v>2.5000000000000001E-2</v>
      </c>
      <c r="U57" s="5">
        <f t="shared" si="11"/>
        <v>8.9999999999999993E-3</v>
      </c>
    </row>
    <row r="58" spans="1:21">
      <c r="A58" t="s">
        <v>794</v>
      </c>
      <c r="B58" t="s">
        <v>795</v>
      </c>
      <c r="C58" t="s">
        <v>796</v>
      </c>
      <c r="D58" t="s">
        <v>797</v>
      </c>
      <c r="E58">
        <v>1</v>
      </c>
      <c r="F58" t="s">
        <v>587</v>
      </c>
      <c r="G58" t="s">
        <v>588</v>
      </c>
      <c r="I58" t="s">
        <v>589</v>
      </c>
      <c r="J58" s="5">
        <v>7.4999999999999997E-2</v>
      </c>
      <c r="K58" s="5">
        <v>2.5000000000000001E-2</v>
      </c>
      <c r="L58" s="5">
        <v>8.9999999999999993E-3</v>
      </c>
      <c r="M58" s="5">
        <v>7.4999999999999997E-2</v>
      </c>
      <c r="N58" s="5">
        <v>2.5000000000000001E-2</v>
      </c>
      <c r="O58" s="5">
        <v>8.9999999999999993E-3</v>
      </c>
      <c r="P58" s="5">
        <f t="shared" si="6"/>
        <v>0.75</v>
      </c>
      <c r="Q58" s="5">
        <f t="shared" si="7"/>
        <v>2.5</v>
      </c>
      <c r="R58" s="5">
        <f t="shared" si="8"/>
        <v>9</v>
      </c>
      <c r="S58" s="5">
        <f t="shared" si="9"/>
        <v>7.4999999999999997E-2</v>
      </c>
      <c r="T58" s="5">
        <f t="shared" si="10"/>
        <v>2.5000000000000001E-2</v>
      </c>
      <c r="U58" s="5">
        <f t="shared" si="11"/>
        <v>8.9999999999999993E-3</v>
      </c>
    </row>
    <row r="59" spans="1:21">
      <c r="A59" t="s">
        <v>798</v>
      </c>
      <c r="B59" t="s">
        <v>799</v>
      </c>
      <c r="C59" t="s">
        <v>800</v>
      </c>
      <c r="D59" t="s">
        <v>801</v>
      </c>
      <c r="E59">
        <v>1</v>
      </c>
      <c r="F59" t="s">
        <v>587</v>
      </c>
      <c r="G59" t="s">
        <v>588</v>
      </c>
      <c r="I59" t="s">
        <v>589</v>
      </c>
      <c r="J59" s="5">
        <v>7.4999999999999997E-2</v>
      </c>
      <c r="K59" s="5">
        <v>2.5000000000000001E-2</v>
      </c>
      <c r="L59" s="5">
        <v>8.9999999999999993E-3</v>
      </c>
      <c r="M59" s="5">
        <v>7.4999999999999997E-2</v>
      </c>
      <c r="N59" s="5">
        <v>2.5000000000000001E-2</v>
      </c>
      <c r="O59" s="5">
        <v>8.9999999999999993E-3</v>
      </c>
      <c r="P59" s="5">
        <f t="shared" si="6"/>
        <v>0.75</v>
      </c>
      <c r="Q59" s="5">
        <f t="shared" si="7"/>
        <v>2.5</v>
      </c>
      <c r="R59" s="5">
        <f t="shared" si="8"/>
        <v>9</v>
      </c>
      <c r="S59" s="5">
        <f t="shared" si="9"/>
        <v>7.4999999999999997E-2</v>
      </c>
      <c r="T59" s="5">
        <f t="shared" si="10"/>
        <v>2.5000000000000001E-2</v>
      </c>
      <c r="U59" s="5">
        <f t="shared" si="11"/>
        <v>8.9999999999999993E-3</v>
      </c>
    </row>
    <row r="60" spans="1:21">
      <c r="A60" t="s">
        <v>802</v>
      </c>
      <c r="B60" t="s">
        <v>803</v>
      </c>
      <c r="C60" t="s">
        <v>804</v>
      </c>
      <c r="D60" t="s">
        <v>805</v>
      </c>
      <c r="E60">
        <v>3</v>
      </c>
      <c r="F60" t="s">
        <v>587</v>
      </c>
      <c r="G60" t="s">
        <v>588</v>
      </c>
      <c r="I60" t="s">
        <v>589</v>
      </c>
      <c r="J60" s="5">
        <v>7.4999999999999997E-2</v>
      </c>
      <c r="K60" s="5">
        <v>2.5000000000000001E-2</v>
      </c>
      <c r="L60" s="5">
        <v>8.9999999999999993E-3</v>
      </c>
      <c r="M60" s="5">
        <v>7.4999999999999997E-2</v>
      </c>
      <c r="N60" s="5">
        <v>2.5000000000000001E-2</v>
      </c>
      <c r="O60" s="5">
        <v>8.9999999999999993E-3</v>
      </c>
      <c r="P60" s="5">
        <f t="shared" si="6"/>
        <v>2.25</v>
      </c>
      <c r="Q60" s="5">
        <f t="shared" si="7"/>
        <v>7.5</v>
      </c>
      <c r="R60" s="5">
        <f t="shared" si="8"/>
        <v>26.999999999999996</v>
      </c>
      <c r="S60" s="5">
        <f t="shared" si="9"/>
        <v>0.22500000000000001</v>
      </c>
      <c r="T60" s="5">
        <f t="shared" si="10"/>
        <v>7.4999999999999997E-2</v>
      </c>
      <c r="U60" s="5">
        <f t="shared" si="11"/>
        <v>2.6999999999999996E-2</v>
      </c>
    </row>
    <row r="61" spans="1:21">
      <c r="A61" t="s">
        <v>264</v>
      </c>
      <c r="B61" t="s">
        <v>806</v>
      </c>
      <c r="C61" t="s">
        <v>807</v>
      </c>
      <c r="D61" t="s">
        <v>808</v>
      </c>
      <c r="E61">
        <v>1</v>
      </c>
      <c r="F61" t="s">
        <v>587</v>
      </c>
      <c r="G61" t="s">
        <v>588</v>
      </c>
      <c r="I61" t="s">
        <v>589</v>
      </c>
      <c r="J61" s="5">
        <v>7.4999999999999997E-2</v>
      </c>
      <c r="K61" s="5">
        <v>2.5000000000000001E-2</v>
      </c>
      <c r="L61" s="5">
        <v>8.9999999999999993E-3</v>
      </c>
      <c r="M61" s="5">
        <v>7.4999999999999997E-2</v>
      </c>
      <c r="N61" s="5">
        <v>2.5000000000000001E-2</v>
      </c>
      <c r="O61" s="5">
        <v>8.9999999999999993E-3</v>
      </c>
      <c r="P61" s="5">
        <f t="shared" si="6"/>
        <v>0.75</v>
      </c>
      <c r="Q61" s="5">
        <f t="shared" si="7"/>
        <v>2.5</v>
      </c>
      <c r="R61" s="5">
        <f t="shared" si="8"/>
        <v>9</v>
      </c>
      <c r="S61" s="5">
        <f t="shared" si="9"/>
        <v>7.4999999999999997E-2</v>
      </c>
      <c r="T61" s="5">
        <f t="shared" si="10"/>
        <v>2.5000000000000001E-2</v>
      </c>
      <c r="U61" s="5">
        <f t="shared" si="11"/>
        <v>8.9999999999999993E-3</v>
      </c>
    </row>
    <row r="62" spans="1:21">
      <c r="A62" t="s">
        <v>809</v>
      </c>
      <c r="B62" t="s">
        <v>810</v>
      </c>
      <c r="C62" t="s">
        <v>811</v>
      </c>
      <c r="D62" t="s">
        <v>812</v>
      </c>
      <c r="E62">
        <v>1</v>
      </c>
      <c r="F62" t="s">
        <v>587</v>
      </c>
      <c r="G62" t="s">
        <v>588</v>
      </c>
      <c r="I62" t="s">
        <v>589</v>
      </c>
      <c r="J62" s="5">
        <v>7.4999999999999997E-2</v>
      </c>
      <c r="K62" s="5">
        <v>2.5000000000000001E-2</v>
      </c>
      <c r="L62" s="5">
        <v>8.9999999999999993E-3</v>
      </c>
      <c r="M62" s="5">
        <v>7.4999999999999997E-2</v>
      </c>
      <c r="N62" s="5">
        <v>2.5000000000000001E-2</v>
      </c>
      <c r="O62" s="5">
        <v>8.9999999999999993E-3</v>
      </c>
      <c r="P62" s="5">
        <f t="shared" si="6"/>
        <v>0.75</v>
      </c>
      <c r="Q62" s="5">
        <f t="shared" si="7"/>
        <v>2.5</v>
      </c>
      <c r="R62" s="5">
        <f t="shared" si="8"/>
        <v>9</v>
      </c>
      <c r="S62" s="5">
        <f t="shared" si="9"/>
        <v>7.4999999999999997E-2</v>
      </c>
      <c r="T62" s="5">
        <f t="shared" si="10"/>
        <v>2.5000000000000001E-2</v>
      </c>
      <c r="U62" s="5">
        <f t="shared" si="11"/>
        <v>8.9999999999999993E-3</v>
      </c>
    </row>
    <row r="63" spans="1:21">
      <c r="A63" t="s">
        <v>813</v>
      </c>
      <c r="B63" t="s">
        <v>814</v>
      </c>
      <c r="C63" t="s">
        <v>815</v>
      </c>
      <c r="D63" t="s">
        <v>816</v>
      </c>
      <c r="E63">
        <v>4</v>
      </c>
      <c r="F63" t="s">
        <v>587</v>
      </c>
      <c r="G63" t="s">
        <v>588</v>
      </c>
      <c r="I63" t="s">
        <v>589</v>
      </c>
      <c r="J63" s="5">
        <v>7.4999999999999997E-2</v>
      </c>
      <c r="K63" s="5">
        <v>2.5000000000000001E-2</v>
      </c>
      <c r="L63" s="5">
        <v>8.9999999999999993E-3</v>
      </c>
      <c r="M63" s="5">
        <v>7.4999999999999997E-2</v>
      </c>
      <c r="N63" s="5">
        <v>2.5000000000000001E-2</v>
      </c>
      <c r="O63" s="5">
        <v>8.9999999999999993E-3</v>
      </c>
      <c r="P63" s="5">
        <f t="shared" si="6"/>
        <v>3</v>
      </c>
      <c r="Q63" s="5">
        <f t="shared" si="7"/>
        <v>10</v>
      </c>
      <c r="R63" s="5">
        <f t="shared" si="8"/>
        <v>36</v>
      </c>
      <c r="S63" s="5">
        <f t="shared" si="9"/>
        <v>0.3</v>
      </c>
      <c r="T63" s="5">
        <f t="shared" si="10"/>
        <v>0.1</v>
      </c>
      <c r="U63" s="5">
        <f t="shared" si="11"/>
        <v>3.5999999999999997E-2</v>
      </c>
    </row>
    <row r="64" spans="1:21">
      <c r="A64" t="s">
        <v>817</v>
      </c>
      <c r="B64" t="s">
        <v>818</v>
      </c>
      <c r="C64" t="s">
        <v>819</v>
      </c>
      <c r="D64" t="s">
        <v>820</v>
      </c>
      <c r="E64">
        <v>2</v>
      </c>
      <c r="F64" t="s">
        <v>587</v>
      </c>
      <c r="G64" t="s">
        <v>588</v>
      </c>
      <c r="I64" t="s">
        <v>589</v>
      </c>
      <c r="J64" s="5">
        <v>7.4999999999999997E-2</v>
      </c>
      <c r="K64" s="5">
        <v>2.5000000000000001E-2</v>
      </c>
      <c r="L64" s="5">
        <v>8.9999999999999993E-3</v>
      </c>
      <c r="M64" s="5">
        <v>7.4999999999999997E-2</v>
      </c>
      <c r="N64" s="5">
        <v>2.5000000000000001E-2</v>
      </c>
      <c r="O64" s="5">
        <v>8.9999999999999993E-3</v>
      </c>
      <c r="P64" s="5">
        <f t="shared" si="6"/>
        <v>1.5</v>
      </c>
      <c r="Q64" s="5">
        <f t="shared" si="7"/>
        <v>5</v>
      </c>
      <c r="R64" s="5">
        <f t="shared" si="8"/>
        <v>18</v>
      </c>
      <c r="S64" s="5">
        <f t="shared" si="9"/>
        <v>0.15</v>
      </c>
      <c r="T64" s="5">
        <f t="shared" si="10"/>
        <v>0.05</v>
      </c>
      <c r="U64" s="5">
        <f t="shared" si="11"/>
        <v>1.7999999999999999E-2</v>
      </c>
    </row>
    <row r="65" spans="1:21">
      <c r="A65" t="s">
        <v>821</v>
      </c>
      <c r="B65" t="s">
        <v>822</v>
      </c>
      <c r="C65" t="s">
        <v>823</v>
      </c>
      <c r="D65" t="s">
        <v>824</v>
      </c>
      <c r="E65">
        <v>1</v>
      </c>
      <c r="F65" t="s">
        <v>587</v>
      </c>
      <c r="G65" t="s">
        <v>588</v>
      </c>
      <c r="I65" t="s">
        <v>589</v>
      </c>
      <c r="J65" s="5">
        <v>7.4999999999999997E-2</v>
      </c>
      <c r="K65" s="5">
        <v>2.5000000000000001E-2</v>
      </c>
      <c r="L65" s="5">
        <v>8.9999999999999993E-3</v>
      </c>
      <c r="M65" s="5">
        <v>7.4999999999999997E-2</v>
      </c>
      <c r="N65" s="5">
        <v>2.5000000000000001E-2</v>
      </c>
      <c r="O65" s="5">
        <v>8.9999999999999993E-3</v>
      </c>
      <c r="P65" s="5">
        <f t="shared" si="6"/>
        <v>0.75</v>
      </c>
      <c r="Q65" s="5">
        <f t="shared" si="7"/>
        <v>2.5</v>
      </c>
      <c r="R65" s="5">
        <f t="shared" si="8"/>
        <v>9</v>
      </c>
      <c r="S65" s="5">
        <f t="shared" si="9"/>
        <v>7.4999999999999997E-2</v>
      </c>
      <c r="T65" s="5">
        <f t="shared" si="10"/>
        <v>2.5000000000000001E-2</v>
      </c>
      <c r="U65" s="5">
        <f t="shared" si="11"/>
        <v>8.9999999999999993E-3</v>
      </c>
    </row>
    <row r="66" spans="1:21">
      <c r="A66" t="s">
        <v>825</v>
      </c>
      <c r="B66" t="s">
        <v>826</v>
      </c>
      <c r="C66" t="s">
        <v>827</v>
      </c>
      <c r="D66" t="s">
        <v>828</v>
      </c>
      <c r="E66">
        <v>1</v>
      </c>
      <c r="F66" t="s">
        <v>587</v>
      </c>
      <c r="G66" t="s">
        <v>588</v>
      </c>
      <c r="I66" t="s">
        <v>589</v>
      </c>
      <c r="J66" s="5">
        <v>7.4999999999999997E-2</v>
      </c>
      <c r="K66" s="5">
        <v>2.5000000000000001E-2</v>
      </c>
      <c r="L66" s="5">
        <v>8.9999999999999993E-3</v>
      </c>
      <c r="M66" s="5">
        <v>7.4999999999999997E-2</v>
      </c>
      <c r="N66" s="5">
        <v>2.5000000000000001E-2</v>
      </c>
      <c r="O66" s="5">
        <v>8.9999999999999993E-3</v>
      </c>
      <c r="P66" s="5">
        <f t="shared" ref="P66:P90" si="12">E66*10*M66</f>
        <v>0.75</v>
      </c>
      <c r="Q66" s="5">
        <f t="shared" ref="Q66:Q90" si="13">E66*100*N66</f>
        <v>2.5</v>
      </c>
      <c r="R66" s="5">
        <f t="shared" ref="R66:R90" si="14">E66*1000*O66</f>
        <v>9</v>
      </c>
      <c r="S66" s="5">
        <f t="shared" ref="S66:S90" si="15">P66/10</f>
        <v>7.4999999999999997E-2</v>
      </c>
      <c r="T66" s="5">
        <f t="shared" ref="T66:T90" si="16">Q66/100</f>
        <v>2.5000000000000001E-2</v>
      </c>
      <c r="U66" s="5">
        <f t="shared" ref="U66:U90" si="17">R66/1000</f>
        <v>8.9999999999999993E-3</v>
      </c>
    </row>
    <row r="67" spans="1:21">
      <c r="A67" t="s">
        <v>829</v>
      </c>
      <c r="B67" t="s">
        <v>818</v>
      </c>
      <c r="C67" t="s">
        <v>819</v>
      </c>
      <c r="D67" t="s">
        <v>830</v>
      </c>
      <c r="E67">
        <v>20</v>
      </c>
      <c r="F67" t="s">
        <v>587</v>
      </c>
      <c r="G67" t="s">
        <v>588</v>
      </c>
      <c r="I67" t="s">
        <v>589</v>
      </c>
      <c r="J67" s="5">
        <v>7.4999999999999997E-2</v>
      </c>
      <c r="K67" s="5">
        <v>2.5000000000000001E-2</v>
      </c>
      <c r="L67" s="5">
        <v>8.9999999999999993E-3</v>
      </c>
      <c r="M67" s="5">
        <v>2.5000000000000001E-2</v>
      </c>
      <c r="N67" s="5">
        <v>8.9999999999999993E-3</v>
      </c>
      <c r="O67" s="5">
        <v>8.9999999999999993E-3</v>
      </c>
      <c r="P67" s="5">
        <f t="shared" si="12"/>
        <v>5</v>
      </c>
      <c r="Q67" s="5">
        <f t="shared" si="13"/>
        <v>18</v>
      </c>
      <c r="R67" s="5">
        <f t="shared" si="14"/>
        <v>180</v>
      </c>
      <c r="S67" s="5">
        <f t="shared" si="15"/>
        <v>0.5</v>
      </c>
      <c r="T67" s="5">
        <f t="shared" si="16"/>
        <v>0.18</v>
      </c>
      <c r="U67" s="5">
        <f t="shared" si="17"/>
        <v>0.18</v>
      </c>
    </row>
    <row r="68" spans="1:21">
      <c r="A68" t="s">
        <v>831</v>
      </c>
      <c r="B68" t="s">
        <v>814</v>
      </c>
      <c r="C68" t="s">
        <v>815</v>
      </c>
      <c r="D68" t="s">
        <v>832</v>
      </c>
      <c r="E68">
        <v>2</v>
      </c>
      <c r="F68" t="s">
        <v>587</v>
      </c>
      <c r="G68" t="s">
        <v>588</v>
      </c>
      <c r="I68" t="s">
        <v>589</v>
      </c>
      <c r="J68" s="5">
        <v>7.4999999999999997E-2</v>
      </c>
      <c r="K68" s="5">
        <v>2.5000000000000001E-2</v>
      </c>
      <c r="L68" s="5">
        <v>8.9999999999999993E-3</v>
      </c>
      <c r="M68" s="5">
        <v>7.4999999999999997E-2</v>
      </c>
      <c r="N68" s="5">
        <v>2.5000000000000001E-2</v>
      </c>
      <c r="O68" s="5">
        <v>8.9999999999999993E-3</v>
      </c>
      <c r="P68" s="5">
        <f t="shared" si="12"/>
        <v>1.5</v>
      </c>
      <c r="Q68" s="5">
        <f t="shared" si="13"/>
        <v>5</v>
      </c>
      <c r="R68" s="5">
        <f t="shared" si="14"/>
        <v>18</v>
      </c>
      <c r="S68" s="5">
        <f t="shared" si="15"/>
        <v>0.15</v>
      </c>
      <c r="T68" s="5">
        <f t="shared" si="16"/>
        <v>0.05</v>
      </c>
      <c r="U68" s="5">
        <f t="shared" si="17"/>
        <v>1.7999999999999999E-2</v>
      </c>
    </row>
    <row r="69" spans="1:21">
      <c r="A69" t="s">
        <v>833</v>
      </c>
      <c r="B69" t="s">
        <v>834</v>
      </c>
      <c r="C69" t="s">
        <v>835</v>
      </c>
      <c r="D69" t="s">
        <v>836</v>
      </c>
      <c r="E69">
        <v>1</v>
      </c>
      <c r="F69" t="s">
        <v>587</v>
      </c>
      <c r="G69" t="s">
        <v>588</v>
      </c>
      <c r="I69" t="s">
        <v>589</v>
      </c>
      <c r="J69" s="5">
        <v>7.4999999999999997E-2</v>
      </c>
      <c r="K69" s="5">
        <v>2.5000000000000001E-2</v>
      </c>
      <c r="L69" s="5">
        <v>8.9999999999999993E-3</v>
      </c>
      <c r="M69" s="5">
        <v>7.4999999999999997E-2</v>
      </c>
      <c r="N69" s="5">
        <v>2.5000000000000001E-2</v>
      </c>
      <c r="O69" s="5">
        <v>8.9999999999999993E-3</v>
      </c>
      <c r="P69" s="5">
        <f t="shared" si="12"/>
        <v>0.75</v>
      </c>
      <c r="Q69" s="5">
        <f t="shared" si="13"/>
        <v>2.5</v>
      </c>
      <c r="R69" s="5">
        <f t="shared" si="14"/>
        <v>9</v>
      </c>
      <c r="S69" s="5">
        <f t="shared" si="15"/>
        <v>7.4999999999999997E-2</v>
      </c>
      <c r="T69" s="5">
        <f t="shared" si="16"/>
        <v>2.5000000000000001E-2</v>
      </c>
      <c r="U69" s="5">
        <f t="shared" si="17"/>
        <v>8.9999999999999993E-3</v>
      </c>
    </row>
    <row r="70" spans="1:21">
      <c r="A70" t="s">
        <v>837</v>
      </c>
      <c r="B70" t="s">
        <v>818</v>
      </c>
      <c r="C70" t="s">
        <v>819</v>
      </c>
      <c r="D70" t="s">
        <v>838</v>
      </c>
      <c r="E70">
        <v>2</v>
      </c>
      <c r="F70" t="s">
        <v>587</v>
      </c>
      <c r="G70" t="s">
        <v>588</v>
      </c>
      <c r="I70" t="s">
        <v>589</v>
      </c>
      <c r="J70" s="5">
        <v>7.4999999999999997E-2</v>
      </c>
      <c r="K70" s="5">
        <v>2.5000000000000001E-2</v>
      </c>
      <c r="L70" s="5">
        <v>8.9999999999999993E-3</v>
      </c>
      <c r="M70" s="5">
        <v>7.4999999999999997E-2</v>
      </c>
      <c r="N70" s="5">
        <v>2.5000000000000001E-2</v>
      </c>
      <c r="O70" s="5">
        <v>8.9999999999999993E-3</v>
      </c>
      <c r="P70" s="5">
        <f t="shared" si="12"/>
        <v>1.5</v>
      </c>
      <c r="Q70" s="5">
        <f t="shared" si="13"/>
        <v>5</v>
      </c>
      <c r="R70" s="5">
        <f t="shared" si="14"/>
        <v>18</v>
      </c>
      <c r="S70" s="5">
        <f t="shared" si="15"/>
        <v>0.15</v>
      </c>
      <c r="T70" s="5">
        <f t="shared" si="16"/>
        <v>0.05</v>
      </c>
      <c r="U70" s="5">
        <f t="shared" si="17"/>
        <v>1.7999999999999999E-2</v>
      </c>
    </row>
    <row r="71" spans="1:21">
      <c r="A71" t="s">
        <v>839</v>
      </c>
      <c r="B71" t="s">
        <v>840</v>
      </c>
      <c r="C71" t="s">
        <v>841</v>
      </c>
      <c r="D71" t="s">
        <v>842</v>
      </c>
      <c r="E71">
        <v>1</v>
      </c>
      <c r="F71" t="s">
        <v>587</v>
      </c>
      <c r="G71" t="s">
        <v>588</v>
      </c>
      <c r="I71" t="s">
        <v>589</v>
      </c>
      <c r="J71" s="5">
        <v>7.4999999999999997E-2</v>
      </c>
      <c r="K71" s="5">
        <v>2.5000000000000001E-2</v>
      </c>
      <c r="L71" s="5">
        <v>8.9999999999999993E-3</v>
      </c>
      <c r="M71" s="5">
        <v>7.4999999999999997E-2</v>
      </c>
      <c r="N71" s="5">
        <v>2.5000000000000001E-2</v>
      </c>
      <c r="O71" s="5">
        <v>8.9999999999999993E-3</v>
      </c>
      <c r="P71" s="5">
        <f t="shared" si="12"/>
        <v>0.75</v>
      </c>
      <c r="Q71" s="5">
        <f t="shared" si="13"/>
        <v>2.5</v>
      </c>
      <c r="R71" s="5">
        <f t="shared" si="14"/>
        <v>9</v>
      </c>
      <c r="S71" s="5">
        <f t="shared" si="15"/>
        <v>7.4999999999999997E-2</v>
      </c>
      <c r="T71" s="5">
        <f t="shared" si="16"/>
        <v>2.5000000000000001E-2</v>
      </c>
      <c r="U71" s="5">
        <f t="shared" si="17"/>
        <v>8.9999999999999993E-3</v>
      </c>
    </row>
    <row r="72" spans="1:21">
      <c r="A72" t="s">
        <v>843</v>
      </c>
      <c r="B72" t="s">
        <v>844</v>
      </c>
      <c r="C72" t="s">
        <v>845</v>
      </c>
      <c r="D72" t="s">
        <v>846</v>
      </c>
      <c r="E72">
        <v>2</v>
      </c>
      <c r="F72" t="s">
        <v>587</v>
      </c>
      <c r="G72" t="s">
        <v>588</v>
      </c>
      <c r="I72" t="s">
        <v>589</v>
      </c>
      <c r="J72" s="5">
        <v>7.4999999999999997E-2</v>
      </c>
      <c r="K72" s="5">
        <v>2.5000000000000001E-2</v>
      </c>
      <c r="L72" s="5">
        <v>8.9999999999999993E-3</v>
      </c>
      <c r="M72" s="5">
        <v>7.4999999999999997E-2</v>
      </c>
      <c r="N72" s="5">
        <v>2.5000000000000001E-2</v>
      </c>
      <c r="O72" s="5">
        <v>8.9999999999999993E-3</v>
      </c>
      <c r="P72" s="5">
        <f t="shared" si="12"/>
        <v>1.5</v>
      </c>
      <c r="Q72" s="5">
        <f t="shared" si="13"/>
        <v>5</v>
      </c>
      <c r="R72" s="5">
        <f t="shared" si="14"/>
        <v>18</v>
      </c>
      <c r="S72" s="5">
        <f t="shared" si="15"/>
        <v>0.15</v>
      </c>
      <c r="T72" s="5">
        <f t="shared" si="16"/>
        <v>0.05</v>
      </c>
      <c r="U72" s="5">
        <f t="shared" si="17"/>
        <v>1.7999999999999999E-2</v>
      </c>
    </row>
    <row r="73" spans="1:21">
      <c r="A73" t="s">
        <v>847</v>
      </c>
      <c r="B73" t="s">
        <v>848</v>
      </c>
      <c r="C73" t="s">
        <v>849</v>
      </c>
      <c r="D73" t="s">
        <v>850</v>
      </c>
      <c r="E73">
        <v>1</v>
      </c>
      <c r="F73" t="s">
        <v>587</v>
      </c>
      <c r="G73" t="s">
        <v>588</v>
      </c>
      <c r="I73" t="s">
        <v>589</v>
      </c>
      <c r="J73" s="5">
        <v>7.4999999999999997E-2</v>
      </c>
      <c r="K73" s="5">
        <v>2.5000000000000001E-2</v>
      </c>
      <c r="L73" s="5">
        <v>8.9999999999999993E-3</v>
      </c>
      <c r="M73" s="5">
        <v>7.4999999999999997E-2</v>
      </c>
      <c r="N73" s="5">
        <v>2.5000000000000001E-2</v>
      </c>
      <c r="O73" s="5">
        <v>8.9999999999999993E-3</v>
      </c>
      <c r="P73" s="5">
        <f t="shared" si="12"/>
        <v>0.75</v>
      </c>
      <c r="Q73" s="5">
        <f t="shared" si="13"/>
        <v>2.5</v>
      </c>
      <c r="R73" s="5">
        <f t="shared" si="14"/>
        <v>9</v>
      </c>
      <c r="S73" s="5">
        <f t="shared" si="15"/>
        <v>7.4999999999999997E-2</v>
      </c>
      <c r="T73" s="5">
        <f t="shared" si="16"/>
        <v>2.5000000000000001E-2</v>
      </c>
      <c r="U73" s="5">
        <f t="shared" si="17"/>
        <v>8.9999999999999993E-3</v>
      </c>
    </row>
    <row r="74" spans="1:21">
      <c r="A74" t="s">
        <v>851</v>
      </c>
      <c r="B74" t="s">
        <v>852</v>
      </c>
      <c r="C74" t="s">
        <v>853</v>
      </c>
      <c r="D74" t="s">
        <v>854</v>
      </c>
      <c r="E74">
        <v>1</v>
      </c>
      <c r="F74" t="s">
        <v>587</v>
      </c>
      <c r="G74" t="s">
        <v>588</v>
      </c>
      <c r="I74" t="s">
        <v>589</v>
      </c>
      <c r="J74" s="5">
        <v>7.4999999999999997E-2</v>
      </c>
      <c r="K74" s="5">
        <v>2.5000000000000001E-2</v>
      </c>
      <c r="L74" s="5">
        <v>8.9999999999999993E-3</v>
      </c>
      <c r="M74" s="5">
        <v>7.4999999999999997E-2</v>
      </c>
      <c r="N74" s="5">
        <v>2.5000000000000001E-2</v>
      </c>
      <c r="O74" s="5">
        <v>8.9999999999999993E-3</v>
      </c>
      <c r="P74" s="5">
        <f t="shared" si="12"/>
        <v>0.75</v>
      </c>
      <c r="Q74" s="5">
        <f t="shared" si="13"/>
        <v>2.5</v>
      </c>
      <c r="R74" s="5">
        <f t="shared" si="14"/>
        <v>9</v>
      </c>
      <c r="S74" s="5">
        <f t="shared" si="15"/>
        <v>7.4999999999999997E-2</v>
      </c>
      <c r="T74" s="5">
        <f t="shared" si="16"/>
        <v>2.5000000000000001E-2</v>
      </c>
      <c r="U74" s="5">
        <f t="shared" si="17"/>
        <v>8.9999999999999993E-3</v>
      </c>
    </row>
    <row r="75" spans="1:21">
      <c r="A75" t="s">
        <v>855</v>
      </c>
      <c r="B75" t="s">
        <v>501</v>
      </c>
      <c r="C75" t="s">
        <v>856</v>
      </c>
      <c r="D75" t="s">
        <v>857</v>
      </c>
      <c r="E75">
        <v>1</v>
      </c>
      <c r="F75" t="s">
        <v>858</v>
      </c>
      <c r="G75" t="s">
        <v>859</v>
      </c>
      <c r="H75" t="s">
        <v>860</v>
      </c>
      <c r="I75" t="s">
        <v>861</v>
      </c>
      <c r="J75" s="5">
        <v>147.44999999999999</v>
      </c>
      <c r="K75" s="5">
        <v>138.68</v>
      </c>
      <c r="L75" s="5">
        <v>116.25</v>
      </c>
      <c r="M75" s="5">
        <v>147.44999999999999</v>
      </c>
      <c r="N75" s="5">
        <v>138.68</v>
      </c>
      <c r="O75" s="5">
        <v>116.25</v>
      </c>
      <c r="P75" s="5">
        <f t="shared" si="12"/>
        <v>1474.5</v>
      </c>
      <c r="Q75" s="5">
        <f t="shared" si="13"/>
        <v>13868</v>
      </c>
      <c r="R75" s="5">
        <f t="shared" si="14"/>
        <v>116250</v>
      </c>
      <c r="S75" s="5">
        <f t="shared" si="15"/>
        <v>147.44999999999999</v>
      </c>
      <c r="T75" s="5">
        <f t="shared" si="16"/>
        <v>138.68</v>
      </c>
      <c r="U75" s="5">
        <f t="shared" si="17"/>
        <v>116.25</v>
      </c>
    </row>
    <row r="76" spans="1:21">
      <c r="A76" t="s">
        <v>862</v>
      </c>
      <c r="B76" t="s">
        <v>516</v>
      </c>
      <c r="C76" t="s">
        <v>863</v>
      </c>
      <c r="D76" t="s">
        <v>864</v>
      </c>
      <c r="E76">
        <v>1</v>
      </c>
      <c r="F76" t="s">
        <v>587</v>
      </c>
      <c r="G76" t="s">
        <v>593</v>
      </c>
      <c r="I76" t="s">
        <v>594</v>
      </c>
      <c r="J76" s="5">
        <v>1.45</v>
      </c>
      <c r="K76" s="5">
        <v>1.1499999999999999</v>
      </c>
      <c r="L76" s="5">
        <v>0.9</v>
      </c>
      <c r="M76" s="5">
        <v>1.45</v>
      </c>
      <c r="N76" s="5">
        <v>1.1499999999999999</v>
      </c>
      <c r="O76" s="5">
        <v>0.9</v>
      </c>
      <c r="P76" s="5">
        <f t="shared" si="12"/>
        <v>14.5</v>
      </c>
      <c r="Q76" s="5">
        <f t="shared" si="13"/>
        <v>114.99999999999999</v>
      </c>
      <c r="R76" s="5">
        <f t="shared" si="14"/>
        <v>900</v>
      </c>
      <c r="S76" s="5">
        <f t="shared" si="15"/>
        <v>1.45</v>
      </c>
      <c r="T76" s="5">
        <f t="shared" si="16"/>
        <v>1.1499999999999999</v>
      </c>
      <c r="U76" s="5">
        <f t="shared" si="17"/>
        <v>0.9</v>
      </c>
    </row>
    <row r="77" spans="1:21">
      <c r="A77" t="s">
        <v>865</v>
      </c>
      <c r="B77" t="s">
        <v>547</v>
      </c>
      <c r="C77" t="s">
        <v>866</v>
      </c>
      <c r="D77" t="s">
        <v>867</v>
      </c>
      <c r="E77">
        <v>3</v>
      </c>
      <c r="F77" t="s">
        <v>715</v>
      </c>
      <c r="G77" t="s">
        <v>868</v>
      </c>
      <c r="H77" t="s">
        <v>869</v>
      </c>
      <c r="I77" t="s">
        <v>870</v>
      </c>
      <c r="J77" s="5">
        <v>7.3680000000000003</v>
      </c>
      <c r="K77" s="5">
        <v>5.9660000000000002</v>
      </c>
      <c r="L77" s="5">
        <v>5.9660000000000002</v>
      </c>
      <c r="M77" s="5">
        <v>7.3680000000000003</v>
      </c>
      <c r="N77" s="5">
        <v>5.9660000000000002</v>
      </c>
      <c r="O77" s="5">
        <v>5.9660000000000002</v>
      </c>
      <c r="P77" s="5">
        <f t="shared" si="12"/>
        <v>221.04000000000002</v>
      </c>
      <c r="Q77" s="5">
        <f t="shared" si="13"/>
        <v>1789.8</v>
      </c>
      <c r="R77" s="5">
        <f t="shared" si="14"/>
        <v>17898</v>
      </c>
      <c r="S77" s="5">
        <f t="shared" si="15"/>
        <v>22.104000000000003</v>
      </c>
      <c r="T77" s="5">
        <f t="shared" si="16"/>
        <v>17.898</v>
      </c>
      <c r="U77" s="5">
        <f t="shared" si="17"/>
        <v>17.898</v>
      </c>
    </row>
    <row r="78" spans="1:21">
      <c r="A78" t="s">
        <v>871</v>
      </c>
      <c r="B78" t="s">
        <v>553</v>
      </c>
      <c r="C78" t="s">
        <v>872</v>
      </c>
      <c r="D78" t="s">
        <v>873</v>
      </c>
      <c r="E78">
        <v>2</v>
      </c>
      <c r="F78" t="s">
        <v>715</v>
      </c>
      <c r="G78" t="s">
        <v>874</v>
      </c>
      <c r="H78" t="s">
        <v>875</v>
      </c>
      <c r="I78" t="s">
        <v>876</v>
      </c>
      <c r="J78" s="5">
        <v>0.53300000000000003</v>
      </c>
      <c r="K78" s="5">
        <v>0.41930000000000001</v>
      </c>
      <c r="L78" s="5">
        <v>0.35964000000000002</v>
      </c>
      <c r="M78" s="5">
        <v>0.53300000000000003</v>
      </c>
      <c r="N78" s="5">
        <v>0.41930000000000001</v>
      </c>
      <c r="O78" s="5">
        <v>0.35964000000000002</v>
      </c>
      <c r="P78" s="5">
        <f t="shared" si="12"/>
        <v>10.66</v>
      </c>
      <c r="Q78" s="5">
        <f t="shared" si="13"/>
        <v>83.86</v>
      </c>
      <c r="R78" s="5">
        <f t="shared" si="14"/>
        <v>719.28000000000009</v>
      </c>
      <c r="S78" s="5">
        <f t="shared" si="15"/>
        <v>1.0660000000000001</v>
      </c>
      <c r="T78" s="5">
        <f t="shared" si="16"/>
        <v>0.83860000000000001</v>
      </c>
      <c r="U78" s="5">
        <f t="shared" si="17"/>
        <v>0.71928000000000014</v>
      </c>
    </row>
    <row r="79" spans="1:21">
      <c r="A79" t="s">
        <v>877</v>
      </c>
      <c r="B79" t="s">
        <v>878</v>
      </c>
      <c r="C79" t="s">
        <v>879</v>
      </c>
      <c r="D79" t="s">
        <v>880</v>
      </c>
      <c r="E79">
        <v>1</v>
      </c>
      <c r="F79" t="s">
        <v>587</v>
      </c>
      <c r="G79" t="s">
        <v>593</v>
      </c>
      <c r="I79" t="s">
        <v>594</v>
      </c>
      <c r="J79" s="5">
        <v>9</v>
      </c>
      <c r="K79" s="5">
        <v>7.2</v>
      </c>
      <c r="L79" s="5">
        <v>5.8</v>
      </c>
      <c r="M79" s="5">
        <v>9</v>
      </c>
      <c r="N79" s="5">
        <v>7.2</v>
      </c>
      <c r="O79" s="5">
        <v>5.8</v>
      </c>
      <c r="P79" s="5">
        <f t="shared" si="12"/>
        <v>90</v>
      </c>
      <c r="Q79" s="5">
        <f t="shared" si="13"/>
        <v>720</v>
      </c>
      <c r="R79" s="5">
        <f t="shared" si="14"/>
        <v>5800</v>
      </c>
      <c r="S79" s="5">
        <f t="shared" si="15"/>
        <v>9</v>
      </c>
      <c r="T79" s="5">
        <f t="shared" si="16"/>
        <v>7.2</v>
      </c>
      <c r="U79" s="5">
        <f t="shared" si="17"/>
        <v>5.8</v>
      </c>
    </row>
    <row r="80" spans="1:21">
      <c r="A80" t="s">
        <v>881</v>
      </c>
      <c r="B80" t="s">
        <v>551</v>
      </c>
      <c r="C80" t="s">
        <v>882</v>
      </c>
      <c r="D80" t="s">
        <v>883</v>
      </c>
      <c r="E80">
        <v>1</v>
      </c>
      <c r="F80" t="s">
        <v>587</v>
      </c>
      <c r="G80" t="s">
        <v>593</v>
      </c>
      <c r="I80" t="s">
        <v>594</v>
      </c>
      <c r="J80" s="5">
        <v>3.2</v>
      </c>
      <c r="K80" s="5">
        <v>2.4</v>
      </c>
      <c r="L80" s="5">
        <v>1.85</v>
      </c>
      <c r="M80" s="5">
        <v>3.2</v>
      </c>
      <c r="N80" s="5">
        <v>2.4</v>
      </c>
      <c r="O80" s="5">
        <v>1.85</v>
      </c>
      <c r="P80" s="5">
        <f t="shared" si="12"/>
        <v>32</v>
      </c>
      <c r="Q80" s="5">
        <f t="shared" si="13"/>
        <v>240</v>
      </c>
      <c r="R80" s="5">
        <f t="shared" si="14"/>
        <v>1850</v>
      </c>
      <c r="S80" s="5">
        <f t="shared" si="15"/>
        <v>3.2</v>
      </c>
      <c r="T80" s="5">
        <f t="shared" si="16"/>
        <v>2.4</v>
      </c>
      <c r="U80" s="5">
        <f t="shared" si="17"/>
        <v>1.85</v>
      </c>
    </row>
    <row r="81" spans="1:21">
      <c r="A81" t="s">
        <v>884</v>
      </c>
      <c r="B81" t="s">
        <v>525</v>
      </c>
      <c r="C81" t="s">
        <v>885</v>
      </c>
      <c r="D81" t="s">
        <v>886</v>
      </c>
      <c r="E81">
        <v>2</v>
      </c>
      <c r="F81" t="s">
        <v>587</v>
      </c>
      <c r="G81" t="s">
        <v>593</v>
      </c>
      <c r="I81" t="s">
        <v>594</v>
      </c>
      <c r="J81" s="5">
        <v>6.8</v>
      </c>
      <c r="K81" s="5">
        <v>5.0999999999999996</v>
      </c>
      <c r="L81" s="5">
        <v>3.9</v>
      </c>
      <c r="M81" s="5">
        <v>6.8</v>
      </c>
      <c r="N81" s="5">
        <v>5.0999999999999996</v>
      </c>
      <c r="O81" s="5">
        <v>3.9</v>
      </c>
      <c r="P81" s="5">
        <f t="shared" si="12"/>
        <v>136</v>
      </c>
      <c r="Q81" s="5">
        <f t="shared" si="13"/>
        <v>1019.9999999999999</v>
      </c>
      <c r="R81" s="5">
        <f t="shared" si="14"/>
        <v>7800</v>
      </c>
      <c r="S81" s="5">
        <f t="shared" si="15"/>
        <v>13.6</v>
      </c>
      <c r="T81" s="5">
        <f t="shared" si="16"/>
        <v>10.199999999999999</v>
      </c>
      <c r="U81" s="5">
        <f t="shared" si="17"/>
        <v>7.8</v>
      </c>
    </row>
    <row r="82" spans="1:21">
      <c r="A82" t="s">
        <v>887</v>
      </c>
      <c r="B82" t="s">
        <v>522</v>
      </c>
      <c r="C82" t="s">
        <v>888</v>
      </c>
      <c r="D82" t="s">
        <v>889</v>
      </c>
      <c r="E82">
        <v>1</v>
      </c>
      <c r="F82" t="s">
        <v>715</v>
      </c>
      <c r="G82" t="s">
        <v>716</v>
      </c>
      <c r="H82" t="s">
        <v>890</v>
      </c>
      <c r="I82" t="s">
        <v>891</v>
      </c>
      <c r="J82" s="5">
        <v>8.59</v>
      </c>
      <c r="K82" s="5">
        <v>7.41</v>
      </c>
      <c r="L82" s="5">
        <v>6.64</v>
      </c>
      <c r="M82" s="5">
        <v>8.59</v>
      </c>
      <c r="N82" s="5">
        <v>7.41</v>
      </c>
      <c r="O82" s="5">
        <v>6.64</v>
      </c>
      <c r="P82" s="5">
        <f t="shared" si="12"/>
        <v>85.9</v>
      </c>
      <c r="Q82" s="5">
        <f t="shared" si="13"/>
        <v>741</v>
      </c>
      <c r="R82" s="5">
        <f t="shared" si="14"/>
        <v>6640</v>
      </c>
      <c r="S82" s="5">
        <f t="shared" si="15"/>
        <v>8.59</v>
      </c>
      <c r="T82" s="5">
        <f t="shared" si="16"/>
        <v>7.41</v>
      </c>
      <c r="U82" s="5">
        <f t="shared" si="17"/>
        <v>6.64</v>
      </c>
    </row>
    <row r="83" spans="1:21">
      <c r="A83" t="s">
        <v>892</v>
      </c>
      <c r="B83" t="s">
        <v>540</v>
      </c>
      <c r="C83" t="s">
        <v>893</v>
      </c>
      <c r="D83" t="s">
        <v>894</v>
      </c>
      <c r="E83">
        <v>1</v>
      </c>
      <c r="F83" t="s">
        <v>715</v>
      </c>
      <c r="G83" t="s">
        <v>874</v>
      </c>
      <c r="H83" t="s">
        <v>895</v>
      </c>
      <c r="I83" t="s">
        <v>896</v>
      </c>
      <c r="J83" s="5">
        <v>7.0970000000000004</v>
      </c>
      <c r="K83" s="5">
        <v>6.2012</v>
      </c>
      <c r="L83" s="5">
        <v>5.4648300000000001</v>
      </c>
      <c r="M83" s="5">
        <v>7.0970000000000004</v>
      </c>
      <c r="N83" s="5">
        <v>6.2012</v>
      </c>
      <c r="O83" s="5">
        <v>5.4648300000000001</v>
      </c>
      <c r="P83" s="5">
        <f t="shared" si="12"/>
        <v>70.97</v>
      </c>
      <c r="Q83" s="5">
        <f t="shared" si="13"/>
        <v>620.12</v>
      </c>
      <c r="R83" s="5">
        <f t="shared" si="14"/>
        <v>5464.83</v>
      </c>
      <c r="S83" s="5">
        <f t="shared" si="15"/>
        <v>7.0969999999999995</v>
      </c>
      <c r="T83" s="5">
        <f t="shared" si="16"/>
        <v>6.2012</v>
      </c>
      <c r="U83" s="5">
        <f t="shared" si="17"/>
        <v>5.4648300000000001</v>
      </c>
    </row>
    <row r="84" spans="1:21">
      <c r="A84" t="s">
        <v>897</v>
      </c>
      <c r="B84" t="s">
        <v>898</v>
      </c>
      <c r="C84" t="s">
        <v>899</v>
      </c>
      <c r="D84" t="s">
        <v>900</v>
      </c>
      <c r="E84">
        <v>1</v>
      </c>
      <c r="F84" t="s">
        <v>715</v>
      </c>
      <c r="G84" t="s">
        <v>901</v>
      </c>
      <c r="H84" t="s">
        <v>902</v>
      </c>
      <c r="I84" t="s">
        <v>903</v>
      </c>
      <c r="J84" s="5">
        <v>6.45</v>
      </c>
      <c r="K84" s="5">
        <v>5.6325000000000003</v>
      </c>
      <c r="L84" s="5">
        <v>4.9604900000000001</v>
      </c>
      <c r="M84" s="5">
        <v>6.45</v>
      </c>
      <c r="N84" s="5">
        <v>5.6325000000000003</v>
      </c>
      <c r="O84" s="5">
        <v>4.9604900000000001</v>
      </c>
      <c r="P84" s="5">
        <f t="shared" si="12"/>
        <v>64.5</v>
      </c>
      <c r="Q84" s="5">
        <f t="shared" si="13"/>
        <v>563.25</v>
      </c>
      <c r="R84" s="5">
        <f t="shared" si="14"/>
        <v>4960.49</v>
      </c>
      <c r="S84" s="5">
        <f t="shared" si="15"/>
        <v>6.45</v>
      </c>
      <c r="T84" s="5">
        <f t="shared" si="16"/>
        <v>5.6325000000000003</v>
      </c>
      <c r="U84" s="5">
        <f t="shared" si="17"/>
        <v>4.9604900000000001</v>
      </c>
    </row>
    <row r="85" spans="1:21">
      <c r="A85" t="s">
        <v>904</v>
      </c>
      <c r="B85" t="s">
        <v>533</v>
      </c>
      <c r="C85" t="s">
        <v>905</v>
      </c>
      <c r="D85" t="s">
        <v>906</v>
      </c>
      <c r="E85">
        <v>1</v>
      </c>
      <c r="F85" t="s">
        <v>587</v>
      </c>
      <c r="G85" t="s">
        <v>593</v>
      </c>
      <c r="I85" t="s">
        <v>594</v>
      </c>
      <c r="J85" s="5">
        <v>195</v>
      </c>
      <c r="K85" s="5">
        <v>172</v>
      </c>
      <c r="L85" s="5">
        <v>145</v>
      </c>
      <c r="M85" s="5">
        <v>195</v>
      </c>
      <c r="N85" s="5">
        <v>172</v>
      </c>
      <c r="O85" s="5">
        <v>145</v>
      </c>
      <c r="P85" s="5">
        <f t="shared" si="12"/>
        <v>1950</v>
      </c>
      <c r="Q85" s="5">
        <f t="shared" si="13"/>
        <v>17200</v>
      </c>
      <c r="R85" s="5">
        <f t="shared" si="14"/>
        <v>145000</v>
      </c>
      <c r="S85" s="5">
        <f t="shared" si="15"/>
        <v>195</v>
      </c>
      <c r="T85" s="5">
        <f t="shared" si="16"/>
        <v>172</v>
      </c>
      <c r="U85" s="5">
        <f t="shared" si="17"/>
        <v>145</v>
      </c>
    </row>
    <row r="86" spans="1:21">
      <c r="A86" t="s">
        <v>907</v>
      </c>
      <c r="B86" t="s">
        <v>507</v>
      </c>
      <c r="C86" t="s">
        <v>591</v>
      </c>
      <c r="D86" t="s">
        <v>908</v>
      </c>
      <c r="E86">
        <v>1</v>
      </c>
      <c r="F86" t="s">
        <v>587</v>
      </c>
      <c r="G86" t="s">
        <v>593</v>
      </c>
      <c r="I86" t="s">
        <v>594</v>
      </c>
      <c r="J86" s="5">
        <v>21</v>
      </c>
      <c r="K86" s="5">
        <v>17</v>
      </c>
      <c r="L86" s="5">
        <v>13</v>
      </c>
      <c r="M86" s="5">
        <v>21</v>
      </c>
      <c r="N86" s="5">
        <v>17</v>
      </c>
      <c r="O86" s="5">
        <v>13</v>
      </c>
      <c r="P86" s="5">
        <f t="shared" si="12"/>
        <v>210</v>
      </c>
      <c r="Q86" s="5">
        <f t="shared" si="13"/>
        <v>1700</v>
      </c>
      <c r="R86" s="5">
        <f t="shared" si="14"/>
        <v>13000</v>
      </c>
      <c r="S86" s="5">
        <f t="shared" si="15"/>
        <v>21</v>
      </c>
      <c r="T86" s="5">
        <f t="shared" si="16"/>
        <v>17</v>
      </c>
      <c r="U86" s="5">
        <f t="shared" si="17"/>
        <v>13</v>
      </c>
    </row>
    <row r="87" spans="1:21">
      <c r="A87" t="s">
        <v>909</v>
      </c>
      <c r="B87" t="s">
        <v>510</v>
      </c>
      <c r="C87" t="s">
        <v>591</v>
      </c>
      <c r="D87" t="s">
        <v>910</v>
      </c>
      <c r="E87">
        <v>1</v>
      </c>
      <c r="F87" t="s">
        <v>587</v>
      </c>
      <c r="G87" t="s">
        <v>593</v>
      </c>
      <c r="I87" t="s">
        <v>594</v>
      </c>
      <c r="J87" s="5">
        <v>32</v>
      </c>
      <c r="K87" s="5">
        <v>26</v>
      </c>
      <c r="L87" s="5">
        <v>21</v>
      </c>
      <c r="M87" s="5">
        <v>32</v>
      </c>
      <c r="N87" s="5">
        <v>26</v>
      </c>
      <c r="O87" s="5">
        <v>21</v>
      </c>
      <c r="P87" s="5">
        <f t="shared" si="12"/>
        <v>320</v>
      </c>
      <c r="Q87" s="5">
        <f t="shared" si="13"/>
        <v>2600</v>
      </c>
      <c r="R87" s="5">
        <f t="shared" si="14"/>
        <v>21000</v>
      </c>
      <c r="S87" s="5">
        <f t="shared" si="15"/>
        <v>32</v>
      </c>
      <c r="T87" s="5">
        <f t="shared" si="16"/>
        <v>26</v>
      </c>
      <c r="U87" s="5">
        <f t="shared" si="17"/>
        <v>21</v>
      </c>
    </row>
    <row r="88" spans="1:21">
      <c r="A88" t="s">
        <v>911</v>
      </c>
      <c r="B88" t="s">
        <v>504</v>
      </c>
      <c r="C88" t="s">
        <v>591</v>
      </c>
      <c r="D88" t="s">
        <v>912</v>
      </c>
      <c r="E88">
        <v>2</v>
      </c>
      <c r="F88" t="s">
        <v>715</v>
      </c>
      <c r="G88" t="s">
        <v>716</v>
      </c>
      <c r="H88" t="s">
        <v>913</v>
      </c>
      <c r="I88" t="s">
        <v>914</v>
      </c>
      <c r="J88" s="5">
        <v>60.1</v>
      </c>
      <c r="K88" s="5">
        <v>55.27</v>
      </c>
      <c r="L88" s="5">
        <v>50.73</v>
      </c>
      <c r="M88" s="5">
        <v>60.1</v>
      </c>
      <c r="N88" s="5">
        <v>55.27</v>
      </c>
      <c r="O88" s="5">
        <v>50.73</v>
      </c>
      <c r="P88" s="5">
        <f t="shared" si="12"/>
        <v>1202</v>
      </c>
      <c r="Q88" s="5">
        <f t="shared" si="13"/>
        <v>11054</v>
      </c>
      <c r="R88" s="5">
        <f t="shared" si="14"/>
        <v>101460</v>
      </c>
      <c r="S88" s="5">
        <f t="shared" si="15"/>
        <v>120.2</v>
      </c>
      <c r="T88" s="5">
        <f t="shared" si="16"/>
        <v>110.54</v>
      </c>
      <c r="U88" s="5">
        <f t="shared" si="17"/>
        <v>101.46</v>
      </c>
    </row>
    <row r="89" spans="1:21">
      <c r="A89" t="s">
        <v>915</v>
      </c>
      <c r="B89" t="s">
        <v>513</v>
      </c>
      <c r="C89" t="s">
        <v>723</v>
      </c>
      <c r="D89" t="s">
        <v>916</v>
      </c>
      <c r="E89">
        <v>1</v>
      </c>
      <c r="F89" t="s">
        <v>587</v>
      </c>
      <c r="G89" t="s">
        <v>593</v>
      </c>
      <c r="I89" t="s">
        <v>594</v>
      </c>
      <c r="J89" s="5">
        <v>4.8</v>
      </c>
      <c r="K89" s="5">
        <v>3.8</v>
      </c>
      <c r="L89" s="5">
        <v>3.1</v>
      </c>
      <c r="M89" s="5">
        <v>4.8</v>
      </c>
      <c r="N89" s="5">
        <v>3.8</v>
      </c>
      <c r="O89" s="5">
        <v>3.1</v>
      </c>
      <c r="P89" s="5">
        <f t="shared" si="12"/>
        <v>48</v>
      </c>
      <c r="Q89" s="5">
        <f t="shared" si="13"/>
        <v>380</v>
      </c>
      <c r="R89" s="5">
        <f t="shared" si="14"/>
        <v>3100</v>
      </c>
      <c r="S89" s="5">
        <f t="shared" si="15"/>
        <v>4.8</v>
      </c>
      <c r="T89" s="5">
        <f t="shared" si="16"/>
        <v>3.8</v>
      </c>
      <c r="U89" s="5">
        <f t="shared" si="17"/>
        <v>3.1</v>
      </c>
    </row>
    <row r="90" spans="1:21">
      <c r="A90" t="s">
        <v>917</v>
      </c>
      <c r="B90" t="s">
        <v>535</v>
      </c>
      <c r="C90" t="s">
        <v>723</v>
      </c>
      <c r="D90" t="s">
        <v>918</v>
      </c>
      <c r="E90">
        <v>1</v>
      </c>
      <c r="F90" t="s">
        <v>587</v>
      </c>
      <c r="G90" t="s">
        <v>593</v>
      </c>
      <c r="I90" t="s">
        <v>594</v>
      </c>
      <c r="J90" s="5">
        <v>5.5</v>
      </c>
      <c r="K90" s="5">
        <v>4.5</v>
      </c>
      <c r="L90" s="5">
        <v>3.7</v>
      </c>
      <c r="M90" s="5">
        <v>5.5</v>
      </c>
      <c r="N90" s="5">
        <v>4.5</v>
      </c>
      <c r="O90" s="5">
        <v>3.7</v>
      </c>
      <c r="P90" s="5">
        <f t="shared" si="12"/>
        <v>55</v>
      </c>
      <c r="Q90" s="5">
        <f t="shared" si="13"/>
        <v>450</v>
      </c>
      <c r="R90" s="5">
        <f t="shared" si="14"/>
        <v>3700</v>
      </c>
      <c r="S90" s="5">
        <f t="shared" si="15"/>
        <v>5.5</v>
      </c>
      <c r="T90" s="5">
        <f t="shared" si="16"/>
        <v>4.5</v>
      </c>
      <c r="U90" s="5">
        <f t="shared" si="17"/>
        <v>3.7</v>
      </c>
    </row>
    <row r="91" spans="1:21"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>
      <c r="A92" t="s">
        <v>919</v>
      </c>
      <c r="J92" s="5"/>
      <c r="K92" s="5"/>
      <c r="L92" s="5"/>
      <c r="M92" s="5"/>
      <c r="N92" s="5"/>
      <c r="O92" s="5"/>
      <c r="P92" s="5">
        <f t="shared" ref="P92:U92" si="18">SUM(P2:P90)</f>
        <v>6746.67</v>
      </c>
      <c r="Q92" s="5">
        <f t="shared" si="18"/>
        <v>58829.38</v>
      </c>
      <c r="R92" s="5">
        <f t="shared" si="18"/>
        <v>502316.6</v>
      </c>
      <c r="S92" s="5">
        <f t="shared" si="18"/>
        <v>674.66699999999992</v>
      </c>
      <c r="T92" s="5">
        <f t="shared" si="18"/>
        <v>588.29379999999992</v>
      </c>
      <c r="U92" s="5">
        <f t="shared" si="18"/>
        <v>502.31659999999999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"/>
  <sheetViews>
    <sheetView tabSelected="1" workbookViewId="0"/>
  </sheetViews>
  <sheetFormatPr defaultRowHeight="13.7"/>
  <cols>
    <col min="1" max="6" width="24" customWidth="1"/>
  </cols>
  <sheetData>
    <row r="1" spans="1:6">
      <c r="A1" s="4" t="s">
        <v>920</v>
      </c>
      <c r="B1" s="4" t="s">
        <v>921</v>
      </c>
      <c r="C1" s="4" t="s">
        <v>922</v>
      </c>
      <c r="D1" s="4" t="s">
        <v>923</v>
      </c>
      <c r="E1" s="4" t="s">
        <v>924</v>
      </c>
      <c r="F1" s="4" t="s">
        <v>925</v>
      </c>
    </row>
    <row r="2" spans="1:6">
      <c r="A2">
        <v>10</v>
      </c>
      <c r="B2" s="5">
        <f>SUM('BOM Altium valorizada'!P2:P90)</f>
        <v>6746.67</v>
      </c>
      <c r="C2" s="5">
        <f>B2/A2</f>
        <v>674.66700000000003</v>
      </c>
      <c r="D2" s="5">
        <f>SUMIF('BOM Altium valorizada'!F2:F90,"WEB*",'BOM Altium valorizada'!P2:P90)</f>
        <v>3317.27</v>
      </c>
      <c r="E2" s="5">
        <f>B2-D2</f>
        <v>3429.4</v>
      </c>
      <c r="F2" s="6">
        <f>D2/B2</f>
        <v>0.49168997446147505</v>
      </c>
    </row>
    <row r="3" spans="1:6">
      <c r="A3">
        <v>100</v>
      </c>
      <c r="B3" s="5">
        <f>SUM('BOM Altium valorizada'!Q2:Q90)</f>
        <v>58829.38</v>
      </c>
      <c r="C3" s="5">
        <f>B3/A3</f>
        <v>588.29379999999992</v>
      </c>
      <c r="D3" s="5">
        <f>SUMIF('BOM Altium valorizada'!F2:F90,"WEB*",'BOM Altium valorizada'!Q2:Q90)</f>
        <v>30268.78</v>
      </c>
      <c r="E3" s="5">
        <f>B3-D3</f>
        <v>28560.6</v>
      </c>
      <c r="F3" s="6">
        <f>D3/B3</f>
        <v>0.51451808603116334</v>
      </c>
    </row>
    <row r="4" spans="1:6">
      <c r="A4">
        <v>1000</v>
      </c>
      <c r="B4" s="5">
        <f>SUM('BOM Altium valorizada'!R2:R90)</f>
        <v>502316.6</v>
      </c>
      <c r="C4" s="5">
        <f>B4/A4</f>
        <v>502.31659999999999</v>
      </c>
      <c r="D4" s="5">
        <f>SUMIF('BOM Altium valorizada'!F2:F90,"WEB*",'BOM Altium valorizada'!R2:R90)</f>
        <v>267722.59999999998</v>
      </c>
      <c r="E4" s="5">
        <f>B4-D4</f>
        <v>234594</v>
      </c>
      <c r="F4" s="6">
        <f>D4/B4</f>
        <v>0.53297581644723668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/>
  </sheetViews>
  <sheetFormatPr defaultRowHeight="13.7"/>
  <cols>
    <col min="1" max="1" width="24" customWidth="1"/>
    <col min="2" max="2" width="110" customWidth="1"/>
  </cols>
  <sheetData>
    <row r="1" spans="1:2">
      <c r="A1" s="4" t="s">
        <v>926</v>
      </c>
      <c r="B1" s="4" t="s">
        <v>927</v>
      </c>
    </row>
    <row r="2" spans="1:2">
      <c r="A2" t="s">
        <v>928</v>
      </c>
      <c r="B2" t="s">
        <v>929</v>
      </c>
    </row>
    <row r="3" spans="1:2">
      <c r="A3" t="s">
        <v>930</v>
      </c>
      <c r="B3" t="s">
        <v>931</v>
      </c>
    </row>
    <row r="4" spans="1:2">
      <c r="A4" t="s">
        <v>932</v>
      </c>
      <c r="B4" t="s">
        <v>933</v>
      </c>
    </row>
    <row r="5" spans="1:2">
      <c r="A5" t="s">
        <v>934</v>
      </c>
      <c r="B5" t="s">
        <v>935</v>
      </c>
    </row>
    <row r="6" spans="1:2">
      <c r="A6" t="s">
        <v>936</v>
      </c>
      <c r="B6" t="s">
        <v>937</v>
      </c>
    </row>
    <row r="7" spans="1:2">
      <c r="A7" t="s">
        <v>938</v>
      </c>
      <c r="B7" t="s">
        <v>939</v>
      </c>
    </row>
    <row r="8" spans="1:2">
      <c r="A8" t="s">
        <v>940</v>
      </c>
      <c r="B8" t="s">
        <v>941</v>
      </c>
    </row>
    <row r="9" spans="1:2">
      <c r="A9" t="s">
        <v>942</v>
      </c>
      <c r="B9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Indice</vt:lpstr>
      <vt:lpstr>Requisitos</vt:lpstr>
      <vt:lpstr>Especificaciones</vt:lpstr>
      <vt:lpstr>Funciones</vt:lpstr>
      <vt:lpstr>Restricciones PCB</vt:lpstr>
      <vt:lpstr>DFM fabricante</vt:lpstr>
      <vt:lpstr>Restricciones Altium</vt:lpstr>
      <vt:lpstr>Plan verificacion</vt:lpstr>
      <vt:lpstr>Inventario componentes</vt:lpstr>
      <vt:lpstr>BOM Altium valorizada</vt:lpstr>
      <vt:lpstr>Costos 10 100 1000</vt:lpstr>
      <vt:lpstr>Criterios 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Díaz Zuluaga</dc:creator>
  <cp:lastModifiedBy>JUAN JOSE DIAZ ZULUAGA</cp:lastModifiedBy>
  <dcterms:created xsi:type="dcterms:W3CDTF">2026-10-27T04:17:24Z</dcterms:created>
  <dcterms:modified xsi:type="dcterms:W3CDTF">2026-10-27T04:17:24Z</dcterms:modified>
</cp:coreProperties>
</file>